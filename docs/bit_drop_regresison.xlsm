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3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4.xml" ContentType="application/vnd.openxmlformats-officedocument.drawing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0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5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4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5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6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6.xml" ContentType="application/vnd.openxmlformats-officedocument.drawing+xml"/>
  <Override PartName="/xl/charts/chart27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8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9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30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7.xml" ContentType="application/vnd.openxmlformats-officedocument.drawing+xml"/>
  <Override PartName="/xl/charts/chart31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32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3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4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5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6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7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8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9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8.xml" ContentType="application/vnd.openxmlformats-officedocument.drawing+xml"/>
  <Override PartName="/xl/charts/chart40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atoliy\Documents\GitHub\YARR-rx-recovery\docs\"/>
    </mc:Choice>
  </mc:AlternateContent>
  <xr:revisionPtr revIDLastSave="0" documentId="13_ncr:1_{848EE4DB-CA1E-4B4A-96AF-70714790B50F}" xr6:coauthVersionLast="47" xr6:coauthVersionMax="47" xr10:uidLastSave="{00000000-0000-0000-0000-000000000000}"/>
  <bookViews>
    <workbookView xWindow="-28920" yWindow="-120" windowWidth="29040" windowHeight="15840" firstSheet="2" activeTab="6" xr2:uid="{8D2496C1-CF74-42A4-84B7-D0BBC5A02720}"/>
  </bookViews>
  <sheets>
    <sheet name="Sheet1" sheetId="1" r:id="rId1"/>
    <sheet name="Sheet2" sheetId="2" r:id="rId2"/>
    <sheet name="Original System" sheetId="3" r:id="rId3"/>
    <sheet name="Gbox Slips" sheetId="5" r:id="rId4"/>
    <sheet name="Fully Parallel" sheetId="6" r:id="rId5"/>
    <sheet name="Resource Utilization" sheetId="8" r:id="rId6"/>
    <sheet name="parallel vs header-seeker-6" sheetId="9" r:id="rId7"/>
    <sheet name="Sheet3" sheetId="10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F22" i="9" l="1"/>
  <c r="Z4" i="9"/>
  <c r="AA4" i="9"/>
  <c r="AB4" i="9"/>
  <c r="AC4" i="9"/>
  <c r="AD4" i="9"/>
  <c r="AE4" i="9"/>
  <c r="AF4" i="9"/>
  <c r="D67" i="9"/>
  <c r="E67" i="9"/>
  <c r="F67" i="9"/>
  <c r="G67" i="9"/>
  <c r="H67" i="9"/>
  <c r="I67" i="9"/>
  <c r="J67" i="9"/>
  <c r="K67" i="9"/>
  <c r="C67" i="9"/>
  <c r="AA92" i="9"/>
  <c r="AG21" i="9"/>
  <c r="AG22" i="9"/>
  <c r="Z22" i="9"/>
  <c r="AA22" i="9"/>
  <c r="AB22" i="9"/>
  <c r="AC22" i="9"/>
  <c r="AD22" i="9"/>
  <c r="AE22" i="9"/>
  <c r="Y22" i="9"/>
  <c r="Q22" i="9"/>
  <c r="N23" i="9"/>
  <c r="N22" i="9"/>
  <c r="O23" i="9"/>
  <c r="O22" i="9"/>
  <c r="P23" i="9"/>
  <c r="P22" i="9"/>
  <c r="Q23" i="9"/>
  <c r="R23" i="9"/>
  <c r="R22" i="9"/>
  <c r="S23" i="9"/>
  <c r="S22" i="9"/>
  <c r="T23" i="9"/>
  <c r="T22" i="9"/>
  <c r="U23" i="9"/>
  <c r="U22" i="9"/>
  <c r="D68" i="9"/>
  <c r="E68" i="9"/>
  <c r="F68" i="9"/>
  <c r="G68" i="9"/>
  <c r="H68" i="9"/>
  <c r="I68" i="9"/>
  <c r="J68" i="9"/>
  <c r="C68" i="9"/>
  <c r="H67" i="3"/>
  <c r="G68" i="3"/>
  <c r="G67" i="3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2" i="6"/>
  <c r="S3" i="3"/>
  <c r="S4" i="3"/>
  <c r="S5" i="3"/>
  <c r="S6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2" i="3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2" i="1"/>
</calcChain>
</file>

<file path=xl/sharedStrings.xml><?xml version="1.0" encoding="utf-8"?>
<sst xmlns="http://schemas.openxmlformats.org/spreadsheetml/2006/main" count="5292" uniqueCount="1007">
  <si>
    <t>#</t>
  </si>
  <si>
    <t>rx_valid</t>
  </si>
  <si>
    <t>went</t>
  </si>
  <si>
    <t>low</t>
  </si>
  <si>
    <t>at</t>
  </si>
  <si>
    <t>time:</t>
  </si>
  <si>
    <t>92153.60ns.</t>
  </si>
  <si>
    <t>Duration:</t>
  </si>
  <si>
    <t>119340.80ns</t>
  </si>
  <si>
    <t>Saw</t>
  </si>
  <si>
    <t>serdes</t>
  </si>
  <si>
    <t>slips</t>
  </si>
  <si>
    <t>and</t>
  </si>
  <si>
    <t>gearbox</t>
  </si>
  <si>
    <t>Offset</t>
  </si>
  <si>
    <t>by</t>
  </si>
  <si>
    <t>time</t>
  </si>
  <si>
    <t>212832.00ns</t>
  </si>
  <si>
    <t>213088.00ns.</t>
  </si>
  <si>
    <t>131424.00ns</t>
  </si>
  <si>
    <t>345900.80ns</t>
  </si>
  <si>
    <t>346156.80ns.</t>
  </si>
  <si>
    <t>203820.80ns</t>
  </si>
  <si>
    <t>551315.20ns</t>
  </si>
  <si>
    <t>551622.40ns.</t>
  </si>
  <si>
    <t>155539.20ns</t>
  </si>
  <si>
    <t>708550.40ns</t>
  </si>
  <si>
    <t>708806.40ns.</t>
  </si>
  <si>
    <t>25644.80ns</t>
  </si>
  <si>
    <t>735840.00ns</t>
  </si>
  <si>
    <t>736096.00ns.</t>
  </si>
  <si>
    <t>44128.00ns</t>
  </si>
  <si>
    <t>781612.80ns</t>
  </si>
  <si>
    <t>781868.80ns.</t>
  </si>
  <si>
    <t>33734.40ns</t>
  </si>
  <si>
    <t>816992.00ns</t>
  </si>
  <si>
    <t>817299.20ns.</t>
  </si>
  <si>
    <t>8492.80ns</t>
  </si>
  <si>
    <t>827129.60ns</t>
  </si>
  <si>
    <t>827641.60ns.</t>
  </si>
  <si>
    <t>5830.40ns</t>
  </si>
  <si>
    <t>834604.80ns</t>
  </si>
  <si>
    <t>834860.80ns.</t>
  </si>
  <si>
    <t>99987.20ns</t>
  </si>
  <si>
    <t>936236.80ns</t>
  </si>
  <si>
    <t>936441.60ns.</t>
  </si>
  <si>
    <t>52217.60ns</t>
  </si>
  <si>
    <t>990099.20ns</t>
  </si>
  <si>
    <t>990355.20ns.</t>
  </si>
  <si>
    <t>251641.60ns</t>
  </si>
  <si>
    <t>1243385.60ns</t>
  </si>
  <si>
    <t>1243641.60ns.</t>
  </si>
  <si>
    <t>3628.80ns</t>
  </si>
  <si>
    <t>1248659.20ns</t>
  </si>
  <si>
    <t>1248966.40ns.</t>
  </si>
  <si>
    <t>15609.60ns</t>
  </si>
  <si>
    <t>1265862.40ns</t>
  </si>
  <si>
    <t>1266169.60ns.</t>
  </si>
  <si>
    <t>60204.80ns</t>
  </si>
  <si>
    <t>1327763.20ns</t>
  </si>
  <si>
    <t>1328019.20ns.</t>
  </si>
  <si>
    <t>165011.20ns</t>
  </si>
  <si>
    <t>1494419.20ns</t>
  </si>
  <si>
    <t>1494675.20ns.</t>
  </si>
  <si>
    <t>187948.80ns</t>
  </si>
  <si>
    <t>1684012.80ns</t>
  </si>
  <si>
    <t>1684320.00ns.</t>
  </si>
  <si>
    <t>61024.00ns</t>
  </si>
  <si>
    <t>1746681.60ns</t>
  </si>
  <si>
    <t>1747040.00ns.</t>
  </si>
  <si>
    <t>33836.80ns</t>
  </si>
  <si>
    <t>1782163.20ns</t>
  </si>
  <si>
    <t>1782419.20ns.</t>
  </si>
  <si>
    <t>1836.80ns</t>
  </si>
  <si>
    <t>1785644.80ns</t>
  </si>
  <si>
    <t>1785900.80ns.</t>
  </si>
  <si>
    <t>25849.60ns</t>
  </si>
  <si>
    <t>1813139.20ns</t>
  </si>
  <si>
    <t>1813395.20ns.</t>
  </si>
  <si>
    <t>79097.60ns</t>
  </si>
  <si>
    <t>1893881.60ns</t>
  </si>
  <si>
    <t>1894137.60ns.</t>
  </si>
  <si>
    <t>231520.00ns</t>
  </si>
  <si>
    <t>2127046.40ns</t>
  </si>
  <si>
    <t>2127456.00ns.</t>
  </si>
  <si>
    <t>1939.20ns</t>
  </si>
  <si>
    <t>2130630.40ns</t>
  </si>
  <si>
    <t>2130886.40ns.</t>
  </si>
  <si>
    <t>42694.40ns</t>
  </si>
  <si>
    <t>2174918.40ns</t>
  </si>
  <si>
    <t>2175276.80ns.</t>
  </si>
  <si>
    <t>61433.60ns</t>
  </si>
  <si>
    <t>2238048.00ns</t>
  </si>
  <si>
    <t>2238457.60ns.</t>
  </si>
  <si>
    <t>110944.00ns</t>
  </si>
  <si>
    <t>2350585.60ns</t>
  </si>
  <si>
    <t>2350841.60ns.</t>
  </si>
  <si>
    <t>170694.40ns</t>
  </si>
  <si>
    <t>2522924.80ns</t>
  </si>
  <si>
    <t>2523232.00ns.</t>
  </si>
  <si>
    <t>8544.00ns</t>
  </si>
  <si>
    <t>2533113.60ns</t>
  </si>
  <si>
    <t>2533472.00ns.</t>
  </si>
  <si>
    <t>10233.60ns</t>
  </si>
  <si>
    <t>2544992.00ns</t>
  </si>
  <si>
    <t>2545401.60ns.</t>
  </si>
  <si>
    <t>16838.40ns</t>
  </si>
  <si>
    <t>2563475.20ns</t>
  </si>
  <si>
    <t>2563782.40ns.</t>
  </si>
  <si>
    <t>8236.80ns</t>
  </si>
  <si>
    <t>2573408.00ns</t>
  </si>
  <si>
    <t>2573664.00ns.</t>
  </si>
  <si>
    <t>232595.20ns</t>
  </si>
  <si>
    <t>2807648.00ns</t>
  </si>
  <si>
    <t>2807904.00ns.</t>
  </si>
  <si>
    <t>164601.60ns</t>
  </si>
  <si>
    <t>2973894.40ns</t>
  </si>
  <si>
    <t>2974150.40ns.</t>
  </si>
  <si>
    <t>118777.60ns</t>
  </si>
  <si>
    <t>3094316.80ns</t>
  </si>
  <si>
    <t>3094675.20ns.</t>
  </si>
  <si>
    <t>78022.40ns</t>
  </si>
  <si>
    <t>3173984.00ns</t>
  </si>
  <si>
    <t>3174291.20ns.</t>
  </si>
  <si>
    <t>50937.60ns</t>
  </si>
  <si>
    <t>3226566.40ns</t>
  </si>
  <si>
    <t>3226924.80ns.</t>
  </si>
  <si>
    <t>35168.00ns</t>
  </si>
  <si>
    <t>3263379.20ns</t>
  </si>
  <si>
    <t>3263635.20ns.</t>
  </si>
  <si>
    <t>220153.60ns</t>
  </si>
  <si>
    <t>3485177.60ns</t>
  </si>
  <si>
    <t>3485433.60ns.</t>
  </si>
  <si>
    <t>77612.80ns</t>
  </si>
  <si>
    <t>3564435.20ns</t>
  </si>
  <si>
    <t>3564691.20ns.</t>
  </si>
  <si>
    <t>3731.20ns</t>
  </si>
  <si>
    <t>3569811.20ns</t>
  </si>
  <si>
    <t>3570118.40ns.</t>
  </si>
  <si>
    <t>32249.60ns</t>
  </si>
  <si>
    <t>3603705.60ns</t>
  </si>
  <si>
    <t>3603961.60ns.</t>
  </si>
  <si>
    <t>25388.80ns</t>
  </si>
  <si>
    <t>3630739.20ns</t>
  </si>
  <si>
    <t>3631046.40ns.</t>
  </si>
  <si>
    <t>1888.00ns</t>
  </si>
  <si>
    <t>3634272.00ns</t>
  </si>
  <si>
    <t>3634528.00ns.</t>
  </si>
  <si>
    <t>33785.60ns</t>
  </si>
  <si>
    <t>3669702.40ns</t>
  </si>
  <si>
    <t>3670060.80ns.</t>
  </si>
  <si>
    <t>3674976.00ns</t>
  </si>
  <si>
    <t>3675232.00ns.</t>
  </si>
  <si>
    <t>32198.40ns</t>
  </si>
  <si>
    <t>3708819.20ns</t>
  </si>
  <si>
    <t>3709075.20ns.</t>
  </si>
  <si>
    <t>10899.20ns</t>
  </si>
  <si>
    <t>3721363.20ns</t>
  </si>
  <si>
    <t>3721670.40ns.</t>
  </si>
  <si>
    <t>128608.00ns</t>
  </si>
  <si>
    <t>3851616.00ns</t>
  </si>
  <si>
    <t>3851923.20ns.</t>
  </si>
  <si>
    <t>27692.80ns</t>
  </si>
  <si>
    <t>3880953.60ns</t>
  </si>
  <si>
    <t>3881209.60ns.</t>
  </si>
  <si>
    <t>110329.60ns</t>
  </si>
  <si>
    <t>3992876.80ns</t>
  </si>
  <si>
    <t>3993184.00ns.</t>
  </si>
  <si>
    <t>70700.80ns</t>
  </si>
  <si>
    <t>4065273.60ns</t>
  </si>
  <si>
    <t>4065478.40ns.</t>
  </si>
  <si>
    <t>248108.80ns</t>
  </si>
  <si>
    <t>4315027.20ns</t>
  </si>
  <si>
    <t>4315232.00ns.</t>
  </si>
  <si>
    <t>234489.60ns</t>
  </si>
  <si>
    <t>4551161.60ns</t>
  </si>
  <si>
    <t>4551468.80ns.</t>
  </si>
  <si>
    <t>220563.20ns</t>
  </si>
  <si>
    <t>4773318.40ns</t>
  </si>
  <si>
    <t>4773625.60ns.</t>
  </si>
  <si>
    <t>138387.20ns</t>
  </si>
  <si>
    <t>4913350.40ns</t>
  </si>
  <si>
    <t>4913555.20ns.</t>
  </si>
  <si>
    <t>241094.40ns</t>
  </si>
  <si>
    <t>5156089.60ns</t>
  </si>
  <si>
    <t>5156396.80ns.</t>
  </si>
  <si>
    <t>180780.80ns</t>
  </si>
  <si>
    <t>5338515.20ns</t>
  </si>
  <si>
    <t>5338822.40ns.</t>
  </si>
  <si>
    <t>10387.20ns</t>
  </si>
  <si>
    <t>5350547.20ns</t>
  </si>
  <si>
    <t>5350803.20ns.</t>
  </si>
  <si>
    <t>25184.00ns</t>
  </si>
  <si>
    <t>5377376.00ns</t>
  </si>
  <si>
    <t>5377683.20ns.</t>
  </si>
  <si>
    <t>254969.60ns</t>
  </si>
  <si>
    <t>5633990.40ns</t>
  </si>
  <si>
    <t>5634400.00ns.</t>
  </si>
  <si>
    <t>241196.80ns</t>
  </si>
  <si>
    <t>5876780.80ns</t>
  </si>
  <si>
    <t>5877190.40ns.</t>
  </si>
  <si>
    <t>203104.00ns</t>
  </si>
  <si>
    <t>6081580.80ns</t>
  </si>
  <si>
    <t>6081836.80ns.</t>
  </si>
  <si>
    <t>61484.80ns</t>
  </si>
  <si>
    <t>6144710.40ns</t>
  </si>
  <si>
    <t>6144966.40ns.</t>
  </si>
  <si>
    <t>111251.20ns</t>
  </si>
  <si>
    <t>0.00ns.</t>
  </si>
  <si>
    <t>91891.20ns</t>
  </si>
  <si>
    <t>Duration</t>
  </si>
  <si>
    <t>Serdes</t>
  </si>
  <si>
    <t>Gearbox</t>
  </si>
  <si>
    <t>Serdes Mod 8</t>
  </si>
  <si>
    <t>Y-Values</t>
  </si>
  <si>
    <t>slips:</t>
  </si>
  <si>
    <t>slip:</t>
  </si>
  <si>
    <t>Normalizing</t>
  </si>
  <si>
    <t>with</t>
  </si>
  <si>
    <t>offset</t>
  </si>
  <si>
    <t>128659.20ns</t>
  </si>
  <si>
    <t>239353.60ns</t>
  </si>
  <si>
    <t>94816.00ns</t>
  </si>
  <si>
    <t>60409.60ns</t>
  </si>
  <si>
    <t>344825.60ns</t>
  </si>
  <si>
    <t>345030.40ns.</t>
  </si>
  <si>
    <t>34963.20ns</t>
  </si>
  <si>
    <t>381433.60ns</t>
  </si>
  <si>
    <t>381689.60ns.</t>
  </si>
  <si>
    <t>189792.00ns</t>
  </si>
  <si>
    <t>574560.00ns</t>
  </si>
  <si>
    <t>574816.00ns.</t>
  </si>
  <si>
    <t>84064.00ns</t>
  </si>
  <si>
    <t>660268.80ns</t>
  </si>
  <si>
    <t>660524.80ns.</t>
  </si>
  <si>
    <t>207302.40ns</t>
  </si>
  <si>
    <t>870905.60ns</t>
  </si>
  <si>
    <t>871161.60ns.</t>
  </si>
  <si>
    <t>180985.60ns</t>
  </si>
  <si>
    <t>1053536.00ns</t>
  </si>
  <si>
    <t>1053792.00ns.</t>
  </si>
  <si>
    <t>36396.80ns</t>
  </si>
  <si>
    <t>1093267.20ns</t>
  </si>
  <si>
    <t>1093523.20ns.</t>
  </si>
  <si>
    <t>129529.60ns</t>
  </si>
  <si>
    <t>1224441.60ns</t>
  </si>
  <si>
    <t>1224697.60ns.</t>
  </si>
  <si>
    <t>198956.80ns</t>
  </si>
  <si>
    <t>1426732.80ns</t>
  </si>
  <si>
    <t>1427040.00ns.</t>
  </si>
  <si>
    <t>182726.40ns</t>
  </si>
  <si>
    <t>1611104.00ns</t>
  </si>
  <si>
    <t>1611360.00ns.</t>
  </si>
  <si>
    <t>53958.40ns</t>
  </si>
  <si>
    <t>1668396.80ns</t>
  </si>
  <si>
    <t>1668704.00ns.</t>
  </si>
  <si>
    <t>238585.60ns</t>
  </si>
  <si>
    <t>1908627.20ns</t>
  </si>
  <si>
    <t>1908883.20ns.</t>
  </si>
  <si>
    <t>76640.00ns</t>
  </si>
  <si>
    <t>1988601.60ns</t>
  </si>
  <si>
    <t>1988857.60ns.</t>
  </si>
  <si>
    <t>53497.60ns</t>
  </si>
  <si>
    <t>2043744.00ns</t>
  </si>
  <si>
    <t>2044000.00ns.</t>
  </si>
  <si>
    <t>179091.20ns</t>
  </si>
  <si>
    <t>2226169.60ns</t>
  </si>
  <si>
    <t>2226476.80ns.</t>
  </si>
  <si>
    <t>229779.20ns</t>
  </si>
  <si>
    <t>2457593.60ns</t>
  </si>
  <si>
    <t>2458054.40ns.</t>
  </si>
  <si>
    <t>26720.00ns</t>
  </si>
  <si>
    <t>2487596.80ns</t>
  </si>
  <si>
    <t>2487904.00ns.</t>
  </si>
  <si>
    <t>182931.20ns</t>
  </si>
  <si>
    <t>2672224.00ns</t>
  </si>
  <si>
    <t>2672480.00ns.</t>
  </si>
  <si>
    <t>2770374.40ns</t>
  </si>
  <si>
    <t>2770681.60ns.</t>
  </si>
  <si>
    <t>2773907.20ns</t>
  </si>
  <si>
    <t>2774163.20ns.</t>
  </si>
  <si>
    <t>58412.80ns</t>
  </si>
  <si>
    <t>2835603.20ns</t>
  </si>
  <si>
    <t>2835859.20ns.</t>
  </si>
  <si>
    <t>102649.60ns</t>
  </si>
  <si>
    <t>2939948.80ns</t>
  </si>
  <si>
    <t>2940204.80ns.</t>
  </si>
  <si>
    <t>247955.20ns</t>
  </si>
  <si>
    <t>3191238.40ns</t>
  </si>
  <si>
    <t>3191494.40ns.</t>
  </si>
  <si>
    <t>164345.60ns</t>
  </si>
  <si>
    <t>3357228.80ns</t>
  </si>
  <si>
    <t>3357484.80ns.</t>
  </si>
  <si>
    <t>112480.00ns</t>
  </si>
  <si>
    <t>3473043.20ns</t>
  </si>
  <si>
    <t>3473299.20ns.</t>
  </si>
  <si>
    <t>106540.80ns</t>
  </si>
  <si>
    <t>3581228.80ns</t>
  </si>
  <si>
    <t>3581484.80ns.</t>
  </si>
  <si>
    <t>51808.00ns</t>
  </si>
  <si>
    <t>3636320.00ns</t>
  </si>
  <si>
    <t>3636627.20ns.</t>
  </si>
  <si>
    <t>120108.80ns</t>
  </si>
  <si>
    <t>3758073.60ns</t>
  </si>
  <si>
    <t>3758329.60ns.</t>
  </si>
  <si>
    <t>77510.40ns</t>
  </si>
  <si>
    <t>3838969.60ns</t>
  </si>
  <si>
    <t>3839225.60ns.</t>
  </si>
  <si>
    <t>179756.80ns</t>
  </si>
  <si>
    <t>4020371.20ns</t>
  </si>
  <si>
    <t>4020627.20ns.</t>
  </si>
  <si>
    <t>146835.20ns</t>
  </si>
  <si>
    <t>4170540.80ns</t>
  </si>
  <si>
    <t>4170848.00ns.</t>
  </si>
  <si>
    <t>180576.00ns</t>
  </si>
  <si>
    <t>4352710.40ns</t>
  </si>
  <si>
    <t>4353017.60ns.</t>
  </si>
  <si>
    <t>18425.60ns</t>
  </si>
  <si>
    <t>4374521.60ns</t>
  </si>
  <si>
    <t>4374777.60ns.</t>
  </si>
  <si>
    <t>187590.40ns</t>
  </si>
  <si>
    <t>4563756.80ns</t>
  </si>
  <si>
    <t>4564064.00ns.</t>
  </si>
  <si>
    <t>70752.00ns</t>
  </si>
  <si>
    <t>4637843.20ns</t>
  </si>
  <si>
    <t>4638099.20ns.</t>
  </si>
  <si>
    <t>171001.60ns</t>
  </si>
  <si>
    <t>4810489.60ns</t>
  </si>
  <si>
    <t>4810694.40ns.</t>
  </si>
  <si>
    <t>130912.00ns</t>
  </si>
  <si>
    <t>4944736.00ns</t>
  </si>
  <si>
    <t>4944992.00ns.</t>
  </si>
  <si>
    <t>44537.60ns</t>
  </si>
  <si>
    <t>4990918.40ns</t>
  </si>
  <si>
    <t>4991174.40ns.</t>
  </si>
  <si>
    <t>173766.40ns</t>
  </si>
  <si>
    <t>5168019.20ns</t>
  </si>
  <si>
    <t>5168275.20ns.</t>
  </si>
  <si>
    <t>144633.60ns</t>
  </si>
  <si>
    <t>5314246.40ns</t>
  </si>
  <si>
    <t>5314553.60ns.</t>
  </si>
  <si>
    <t>5556985.60ns</t>
  </si>
  <si>
    <t>5557241.60ns.</t>
  </si>
  <si>
    <t>94867.20ns</t>
  </si>
  <si>
    <t>5653497.60ns</t>
  </si>
  <si>
    <t>5653702.40ns.</t>
  </si>
  <si>
    <t>113401.60ns</t>
  </si>
  <si>
    <t>5770233.60ns</t>
  </si>
  <si>
    <t>5770489.60ns.</t>
  </si>
  <si>
    <t>222816.00ns</t>
  </si>
  <si>
    <t>5994694.40ns</t>
  </si>
  <si>
    <t>5994950.40ns.</t>
  </si>
  <si>
    <t>43411.20ns</t>
  </si>
  <si>
    <t>6041440.00ns</t>
  </si>
  <si>
    <t>6041696.00ns.</t>
  </si>
  <si>
    <t>94304.00ns</t>
  </si>
  <si>
    <t>6137388.80ns</t>
  </si>
  <si>
    <t>6137696.00ns.</t>
  </si>
  <si>
    <t>36294.40ns</t>
  </si>
  <si>
    <t>6177017.60ns</t>
  </si>
  <si>
    <t>6177273.60ns.</t>
  </si>
  <si>
    <t>6212499.20ns</t>
  </si>
  <si>
    <t>6212755.20ns.</t>
  </si>
  <si>
    <t>103571.20ns</t>
  </si>
  <si>
    <t>6319353.60ns</t>
  </si>
  <si>
    <t>6319609.60ns.</t>
  </si>
  <si>
    <t>248620.80ns</t>
  </si>
  <si>
    <t>6569568.00ns</t>
  </si>
  <si>
    <t>6569824.00ns.</t>
  </si>
  <si>
    <t>129427.20ns</t>
  </si>
  <si>
    <t>6702380.80ns</t>
  </si>
  <si>
    <t>6702636.80ns.</t>
  </si>
  <si>
    <t>67833.60ns</t>
  </si>
  <si>
    <t>6771859.20ns</t>
  </si>
  <si>
    <t>6772064.00ns.</t>
  </si>
  <si>
    <t>138694.40ns</t>
  </si>
  <si>
    <t>6913888.00ns</t>
  </si>
  <si>
    <t>6914144.00ns.</t>
  </si>
  <si>
    <t>189894.40ns</t>
  </si>
  <si>
    <t>7105427.20ns</t>
  </si>
  <si>
    <t>7105683.20ns.</t>
  </si>
  <si>
    <t>207763.20ns</t>
  </si>
  <si>
    <t>7316473.60ns</t>
  </si>
  <si>
    <t>7316780.80ns.</t>
  </si>
  <si>
    <t>137004.80ns</t>
  </si>
  <si>
    <t>7455174.40ns</t>
  </si>
  <si>
    <t>7455430.40ns.</t>
  </si>
  <si>
    <t>145862.40ns</t>
  </si>
  <si>
    <t>7604371.20ns</t>
  </si>
  <si>
    <t>7604627.20ns.</t>
  </si>
  <si>
    <t>248313.60ns</t>
  </si>
  <si>
    <t>7854329.60ns</t>
  </si>
  <si>
    <t>7854688.00ns.</t>
  </si>
  <si>
    <t>102240.00ns</t>
  </si>
  <si>
    <t>7959852.80ns</t>
  </si>
  <si>
    <t>7960057.60ns.</t>
  </si>
  <si>
    <t>7970041.60ns</t>
  </si>
  <si>
    <t>7970246.40ns.</t>
  </si>
  <si>
    <t>139820.80ns</t>
  </si>
  <si>
    <t>8113196.80ns</t>
  </si>
  <si>
    <t>8113452.80ns.</t>
  </si>
  <si>
    <t>79302.40ns</t>
  </si>
  <si>
    <t>8194144.00ns</t>
  </si>
  <si>
    <t>8194451.20ns.</t>
  </si>
  <si>
    <t>104185.60ns</t>
  </si>
  <si>
    <t>8301664.00ns</t>
  </si>
  <si>
    <t>8301920.00ns.</t>
  </si>
  <si>
    <t>42796.80ns</t>
  </si>
  <si>
    <t>8346105.60ns</t>
  </si>
  <si>
    <t>8346361.60ns.</t>
  </si>
  <si>
    <t>222662.40ns</t>
  </si>
  <si>
    <t>8572102.40ns</t>
  </si>
  <si>
    <t>8572358.40ns.</t>
  </si>
  <si>
    <t>78790.40ns</t>
  </si>
  <si>
    <t>8652537.60ns</t>
  </si>
  <si>
    <t>8652793.60ns.</t>
  </si>
  <si>
    <t>28000.00ns</t>
  </si>
  <si>
    <t>8683872.00ns</t>
  </si>
  <si>
    <t>8684128.00ns.</t>
  </si>
  <si>
    <t>16940.80ns</t>
  </si>
  <si>
    <t>8702457.60ns</t>
  </si>
  <si>
    <t>8702816.00ns.</t>
  </si>
  <si>
    <t>146118.40ns</t>
  </si>
  <si>
    <t>8851910.40ns</t>
  </si>
  <si>
    <t>8852166.40ns.</t>
  </si>
  <si>
    <t>4755.20ns</t>
  </si>
  <si>
    <t>8858310.40ns</t>
  </si>
  <si>
    <t>8858617.60ns.</t>
  </si>
  <si>
    <t>65836.80ns</t>
  </si>
  <si>
    <t>8927481.60ns</t>
  </si>
  <si>
    <t>8927737.60ns.</t>
  </si>
  <si>
    <t>119699.20ns</t>
  </si>
  <si>
    <t>9048825.60ns</t>
  </si>
  <si>
    <t>9049184.00ns.</t>
  </si>
  <si>
    <t>103468.80ns</t>
  </si>
  <si>
    <t>9155628.80ns</t>
  </si>
  <si>
    <t>9155884.80ns.</t>
  </si>
  <si>
    <t>187897.60ns</t>
  </si>
  <si>
    <t>9345171.20ns</t>
  </si>
  <si>
    <t>9345376.00ns.</t>
  </si>
  <si>
    <t>199008.00ns</t>
  </si>
  <si>
    <t>9547513.60ns</t>
  </si>
  <si>
    <t>9547769.60ns.</t>
  </si>
  <si>
    <t>9609568.00ns</t>
  </si>
  <si>
    <t>9609977.60ns.</t>
  </si>
  <si>
    <t>87545.60ns</t>
  </si>
  <si>
    <t>9700396.80ns</t>
  </si>
  <si>
    <t>9700652.80ns.</t>
  </si>
  <si>
    <t>52166.40ns</t>
  </si>
  <si>
    <t>9754259.20ns</t>
  </si>
  <si>
    <t>9754515.20ns.</t>
  </si>
  <si>
    <t>129836.80ns</t>
  </si>
  <si>
    <t>9887430.40ns</t>
  </si>
  <si>
    <t>9887686.40ns.</t>
  </si>
  <si>
    <t>68499.20ns</t>
  </si>
  <si>
    <t>9957574.40ns</t>
  </si>
  <si>
    <t>9957984.00ns.</t>
  </si>
  <si>
    <t>35577.60ns</t>
  </si>
  <si>
    <t>9996486.40ns</t>
  </si>
  <si>
    <t>9996742.40ns.</t>
  </si>
  <si>
    <t>120364.80ns</t>
  </si>
  <si>
    <t>10118496.00ns</t>
  </si>
  <si>
    <t>10118752.00ns.</t>
  </si>
  <si>
    <t>232748.80ns</t>
  </si>
  <si>
    <t>10354579.20ns</t>
  </si>
  <si>
    <t>10354835.20ns.</t>
  </si>
  <si>
    <t>10381868.80ns</t>
  </si>
  <si>
    <t>10382124.80ns.</t>
  </si>
  <si>
    <t>223532.80ns</t>
  </si>
  <si>
    <t>10608736.00ns</t>
  </si>
  <si>
    <t>10608992.00ns.</t>
  </si>
  <si>
    <t>179705.60ns</t>
  </si>
  <si>
    <t>10790035.20ns</t>
  </si>
  <si>
    <t>10790240.00ns.</t>
  </si>
  <si>
    <t>8339.20ns</t>
  </si>
  <si>
    <t>10801708.80ns</t>
  </si>
  <si>
    <t>10801913.60ns.</t>
  </si>
  <si>
    <t>52883.20ns</t>
  </si>
  <si>
    <t>10856185.60ns</t>
  </si>
  <si>
    <t>10856441.60ns.</t>
  </si>
  <si>
    <t>259014.40ns</t>
  </si>
  <si>
    <t>11118585.60ns</t>
  </si>
  <si>
    <t>11118841.60ns.</t>
  </si>
  <si>
    <t>182009.60ns</t>
  </si>
  <si>
    <t>11302188.80ns</t>
  </si>
  <si>
    <t>11302598.40ns.</t>
  </si>
  <si>
    <t>96915.20ns</t>
  </si>
  <si>
    <t>11402489.60ns</t>
  </si>
  <si>
    <t>11402745.60ns.</t>
  </si>
  <si>
    <t>197216.00ns</t>
  </si>
  <si>
    <t>11601299.20ns</t>
  </si>
  <si>
    <t>11601606.40ns.</t>
  </si>
  <si>
    <t>102905.60ns</t>
  </si>
  <si>
    <t>11707539.20ns</t>
  </si>
  <si>
    <t>11707744.00ns.</t>
  </si>
  <si>
    <t>51091.20ns</t>
  </si>
  <si>
    <t>11760275.20ns</t>
  </si>
  <si>
    <t>11760531.20ns.</t>
  </si>
  <si>
    <t>249286.40ns</t>
  </si>
  <si>
    <t>12012896.00ns</t>
  </si>
  <si>
    <t>12013152.00ns.</t>
  </si>
  <si>
    <t>230956.80ns</t>
  </si>
  <si>
    <t>12245497.60ns</t>
  </si>
  <si>
    <t>12245907.20ns.</t>
  </si>
  <si>
    <t>110483.20ns</t>
  </si>
  <si>
    <t>12359315.20ns</t>
  </si>
  <si>
    <t>12359571.20ns.</t>
  </si>
  <si>
    <t>164243.20ns</t>
  </si>
  <si>
    <t>12525203.20ns</t>
  </si>
  <si>
    <t>12525408.00ns.</t>
  </si>
  <si>
    <t>241606.40ns</t>
  </si>
  <si>
    <t>12770144.00ns</t>
  </si>
  <si>
    <t>12770348.80ns.</t>
  </si>
  <si>
    <t>67219.20ns</t>
  </si>
  <si>
    <t>12839008.00ns</t>
  </si>
  <si>
    <t>12839417.60ns.</t>
  </si>
  <si>
    <t>148064.00ns</t>
  </si>
  <si>
    <t>12990406.40ns</t>
  </si>
  <si>
    <t>12990713.60ns.</t>
  </si>
  <si>
    <t>230137.60ns</t>
  </si>
  <si>
    <t>13222188.80ns</t>
  </si>
  <si>
    <t>13222444.80ns.</t>
  </si>
  <si>
    <t>8595.20ns</t>
  </si>
  <si>
    <t>13234118.40ns</t>
  </si>
  <si>
    <t>13234374.40ns.</t>
  </si>
  <si>
    <t>63276.80ns</t>
  </si>
  <si>
    <t>13299040.00ns</t>
  </si>
  <si>
    <t>13299654.40ns.</t>
  </si>
  <si>
    <t>61075.20ns</t>
  </si>
  <si>
    <t>13363449.60ns</t>
  </si>
  <si>
    <t>13363705.60ns.</t>
  </si>
  <si>
    <t>94969.60ns</t>
  </si>
  <si>
    <t>13460115.20ns</t>
  </si>
  <si>
    <t>13460422.40ns.</t>
  </si>
  <si>
    <t>13465286.40ns</t>
  </si>
  <si>
    <t>13465542.40ns.</t>
  </si>
  <si>
    <t>67526.40ns</t>
  </si>
  <si>
    <t>13534457.60ns</t>
  </si>
  <si>
    <t>13534764.80ns.</t>
  </si>
  <si>
    <t>216211.20ns</t>
  </si>
  <si>
    <t>13754003.20ns</t>
  </si>
  <si>
    <t>13754259.20ns.</t>
  </si>
  <si>
    <t>34809.60ns</t>
  </si>
  <si>
    <t>13790457.60ns</t>
  </si>
  <si>
    <t>13790816.00ns.</t>
  </si>
  <si>
    <t>112838.40ns</t>
  </si>
  <si>
    <t>13906630.40ns</t>
  </si>
  <si>
    <t>13906937.60ns.</t>
  </si>
  <si>
    <t>13912006.40ns</t>
  </si>
  <si>
    <t>13912313.60ns.</t>
  </si>
  <si>
    <t>13917177.60ns</t>
  </si>
  <si>
    <t>13917382.40ns.</t>
  </si>
  <si>
    <t>47456.00ns</t>
  </si>
  <si>
    <t>13966278.40ns</t>
  </si>
  <si>
    <t>13966483.20ns.</t>
  </si>
  <si>
    <t>243756.80ns</t>
  </si>
  <si>
    <t>14213318.40ns</t>
  </si>
  <si>
    <t>14213574.40ns.</t>
  </si>
  <si>
    <t>103417.60ns</t>
  </si>
  <si>
    <t>14318432.00ns</t>
  </si>
  <si>
    <t>14318688.00ns.</t>
  </si>
  <si>
    <t>27180.80ns</t>
  </si>
  <si>
    <t>14348947.20ns</t>
  </si>
  <si>
    <t>14349203.20ns.</t>
  </si>
  <si>
    <t>52780.80ns</t>
  </si>
  <si>
    <t>14403372.80ns</t>
  </si>
  <si>
    <t>14403628.80ns.</t>
  </si>
  <si>
    <t>27129.60ns</t>
  </si>
  <si>
    <t>14433836.80ns</t>
  </si>
  <si>
    <t>14434092.80ns.</t>
  </si>
  <si>
    <t>14478278.40ns</t>
  </si>
  <si>
    <t>14478585.60ns.</t>
  </si>
  <si>
    <t>60768.00ns</t>
  </si>
  <si>
    <t>14542380.80ns</t>
  </si>
  <si>
    <t>14542585.60ns.</t>
  </si>
  <si>
    <t>9516.80ns</t>
  </si>
  <si>
    <t>14553542.40ns</t>
  </si>
  <si>
    <t>14553952.00ns.</t>
  </si>
  <si>
    <t>147654.40ns</t>
  </si>
  <si>
    <t>14704531.20ns</t>
  </si>
  <si>
    <t>14704787.20ns.</t>
  </si>
  <si>
    <t>127379.20ns</t>
  </si>
  <si>
    <t>14833504.00ns</t>
  </si>
  <si>
    <t>14833862.40ns.</t>
  </si>
  <si>
    <t>77971.20ns</t>
  </si>
  <si>
    <t>14914860.80ns</t>
  </si>
  <si>
    <t>14915116.80ns.</t>
  </si>
  <si>
    <t>60665.60ns</t>
  </si>
  <si>
    <t>14977120.00ns</t>
  </si>
  <si>
    <t>14977529.60ns.</t>
  </si>
  <si>
    <t>216364.80ns</t>
  </si>
  <si>
    <t>15196870.40ns</t>
  </si>
  <si>
    <t>15197126.40ns.</t>
  </si>
  <si>
    <t>33580.80ns</t>
  </si>
  <si>
    <t>15232044.80ns</t>
  </si>
  <si>
    <t>15232352.00ns.</t>
  </si>
  <si>
    <t>215033.60ns</t>
  </si>
  <si>
    <t>Normalize Duration</t>
  </si>
  <si>
    <t>Error Duration:</t>
  </si>
  <si>
    <t>Error Serdes</t>
  </si>
  <si>
    <t>Error Gearbox</t>
  </si>
  <si>
    <t>Normalize Serdes</t>
  </si>
  <si>
    <t>Normalize Gearbox</t>
  </si>
  <si>
    <t>8390.40ns</t>
  </si>
  <si>
    <t>9414.40ns</t>
  </si>
  <si>
    <t>11001.60ns</t>
  </si>
  <si>
    <t>9209.60ns</t>
  </si>
  <si>
    <t>25491.20ns</t>
  </si>
  <si>
    <t>17760.00ns</t>
  </si>
  <si>
    <t>27488.00ns</t>
  </si>
  <si>
    <t>38086.40ns</t>
  </si>
  <si>
    <t>31993.60ns</t>
  </si>
  <si>
    <t>43052.80ns</t>
  </si>
  <si>
    <t>44179.20ns</t>
  </si>
  <si>
    <t>51910.40ns</t>
  </si>
  <si>
    <t>59539.20ns</t>
  </si>
  <si>
    <t>61689.60ns</t>
  </si>
  <si>
    <t>61945.60ns</t>
  </si>
  <si>
    <t>69420.80ns</t>
  </si>
  <si>
    <t>76947.20ns</t>
  </si>
  <si>
    <t>77356.80ns</t>
  </si>
  <si>
    <t>78278.40ns</t>
  </si>
  <si>
    <t>85497.60ns</t>
  </si>
  <si>
    <t>93894.40ns</t>
  </si>
  <si>
    <t>96966.40ns</t>
  </si>
  <si>
    <t>86419.20ns</t>
  </si>
  <si>
    <t>103929.60ns</t>
  </si>
  <si>
    <t>111507.20ns</t>
  </si>
  <si>
    <t>111916.80ns</t>
  </si>
  <si>
    <t>120569.60ns</t>
  </si>
  <si>
    <t>129990.40ns</t>
  </si>
  <si>
    <t>139001.60ns</t>
  </si>
  <si>
    <t>135724.80ns</t>
  </si>
  <si>
    <t>147244.80ns</t>
  </si>
  <si>
    <t>155436.80ns</t>
  </si>
  <si>
    <t>161939.20ns</t>
  </si>
  <si>
    <t>163014.40ns</t>
  </si>
  <si>
    <t>154771.20ns</t>
  </si>
  <si>
    <t>172025.60ns</t>
  </si>
  <si>
    <t>180934.40ns</t>
  </si>
  <si>
    <t>171462.40ns</t>
  </si>
  <si>
    <t>181446.40ns</t>
  </si>
  <si>
    <t>181395.20ns</t>
  </si>
  <si>
    <t>197369.60ns</t>
  </si>
  <si>
    <t>190406.40ns</t>
  </si>
  <si>
    <t>180729.60ns</t>
  </si>
  <si>
    <t>204742.40ns</t>
  </si>
  <si>
    <t>213804.80ns</t>
  </si>
  <si>
    <t>216057.60ns</t>
  </si>
  <si>
    <t>217952.00ns</t>
  </si>
  <si>
    <t>215545.60ns</t>
  </si>
  <si>
    <t>212268.80ns</t>
  </si>
  <si>
    <t>231315.20ns</t>
  </si>
  <si>
    <t>233465.60ns</t>
  </si>
  <si>
    <t>232646.40ns</t>
  </si>
  <si>
    <t>249747.20ns</t>
  </si>
  <si>
    <t>240428.80ns</t>
  </si>
  <si>
    <t>231008.00ns</t>
  </si>
  <si>
    <t>213395.20ns</t>
  </si>
  <si>
    <t>254560.00ns</t>
  </si>
  <si>
    <t>Serdes Slips</t>
  </si>
  <si>
    <t>Gearbox Slips</t>
  </si>
  <si>
    <t>27641.60ns</t>
  </si>
  <si>
    <t>resync</t>
  </si>
  <si>
    <t>29427.20ns</t>
  </si>
  <si>
    <t>blocks</t>
  </si>
  <si>
    <t>32761.60ns</t>
  </si>
  <si>
    <t>35468.80ns</t>
  </si>
  <si>
    <t>38905.60ns</t>
  </si>
  <si>
    <t>42841.60ns</t>
  </si>
  <si>
    <t>46124.80ns</t>
  </si>
  <si>
    <t>49907.20ns</t>
  </si>
  <si>
    <t>53190.40ns</t>
  </si>
  <si>
    <t>58918.40ns</t>
  </si>
  <si>
    <t>62252.80ns</t>
  </si>
  <si>
    <t>76377.60ns</t>
  </si>
  <si>
    <t>79763.20ns</t>
  </si>
  <si>
    <t>87180.80ns</t>
  </si>
  <si>
    <t>90566.40ns</t>
  </si>
  <si>
    <t>105510.40ns</t>
  </si>
  <si>
    <t>108742.40ns</t>
  </si>
  <si>
    <t>118003.20ns</t>
  </si>
  <si>
    <t>121337.60ns</t>
  </si>
  <si>
    <t>131366.40ns</t>
  </si>
  <si>
    <t>134854.40ns</t>
  </si>
  <si>
    <t>146470.40ns</t>
  </si>
  <si>
    <t>149651.20ns</t>
  </si>
  <si>
    <t>162086.40ns</t>
  </si>
  <si>
    <t>165420.80ns</t>
  </si>
  <si>
    <t>177907.20ns</t>
  </si>
  <si>
    <t>181548.80ns</t>
  </si>
  <si>
    <t>195622.40ns</t>
  </si>
  <si>
    <t>198752.00ns</t>
  </si>
  <si>
    <t>213900.80ns</t>
  </si>
  <si>
    <t>217184.00ns</t>
  </si>
  <si>
    <t>232179.20ns</t>
  </si>
  <si>
    <t>235564.80ns</t>
  </si>
  <si>
    <t>252761.60ns</t>
  </si>
  <si>
    <t>256096.00ns</t>
  </si>
  <si>
    <t>273548.80ns</t>
  </si>
  <si>
    <t>276883.20ns</t>
  </si>
  <si>
    <t>303296.00ns</t>
  </si>
  <si>
    <t>306630.40ns</t>
  </si>
  <si>
    <t>324646.40ns</t>
  </si>
  <si>
    <t>328032.00ns</t>
  </si>
  <si>
    <t>356083.20ns</t>
  </si>
  <si>
    <t>359468.80ns</t>
  </si>
  <si>
    <t>378764.80ns</t>
  </si>
  <si>
    <t>381996.80ns</t>
  </si>
  <si>
    <t>405184.00ns</t>
  </si>
  <si>
    <t>408569.60ns</t>
  </si>
  <si>
    <t>432115.20ns</t>
  </si>
  <si>
    <t>435552.00ns</t>
  </si>
  <si>
    <t>466470.40ns</t>
  </si>
  <si>
    <t>469702.40ns</t>
  </si>
  <si>
    <t>501542.40ns</t>
  </si>
  <si>
    <t>504928.00ns</t>
  </si>
  <si>
    <t>531955.20ns</t>
  </si>
  <si>
    <t>535238.40ns</t>
  </si>
  <si>
    <t>561395.20ns</t>
  </si>
  <si>
    <t>564729.60ns</t>
  </si>
  <si>
    <t>592883.20ns</t>
  </si>
  <si>
    <t>596217.60ns</t>
  </si>
  <si>
    <t>631692.80ns</t>
  </si>
  <si>
    <t>635027.20ns</t>
  </si>
  <si>
    <t>672601.60ns</t>
  </si>
  <si>
    <t>676038.40ns</t>
  </si>
  <si>
    <t>706188.80ns</t>
  </si>
  <si>
    <t>709420.80ns</t>
  </si>
  <si>
    <t>741004.80ns</t>
  </si>
  <si>
    <t>744441.60ns</t>
  </si>
  <si>
    <t>776793.60ns</t>
  </si>
  <si>
    <t>780128.00ns</t>
  </si>
  <si>
    <t>819801.60ns</t>
  </si>
  <si>
    <t>823238.40ns</t>
  </si>
  <si>
    <t>855283.20ns</t>
  </si>
  <si>
    <t>858412.80ns</t>
  </si>
  <si>
    <t>902336.00ns</t>
  </si>
  <si>
    <t>905619.20ns</t>
  </si>
  <si>
    <t>948620.80ns</t>
  </si>
  <si>
    <t>952006.40ns</t>
  </si>
  <si>
    <t>988556.80ns</t>
  </si>
  <si>
    <t>991942.40ns</t>
  </si>
  <si>
    <t>1038630.40ns</t>
  </si>
  <si>
    <t>1042169.60ns</t>
  </si>
  <si>
    <t>1089728.00ns</t>
  </si>
  <si>
    <t>1092960.00ns</t>
  </si>
  <si>
    <t>1133094.40ns</t>
  </si>
  <si>
    <t>1136224.00ns</t>
  </si>
  <si>
    <t>1176102.40ns</t>
  </si>
  <si>
    <t>1179590.40ns</t>
  </si>
  <si>
    <t>1228633.60ns</t>
  </si>
  <si>
    <t>1231865.60ns</t>
  </si>
  <si>
    <t>1274304.00ns</t>
  </si>
  <si>
    <t>1277689.60ns</t>
  </si>
  <si>
    <t>1328320.00ns</t>
  </si>
  <si>
    <t>1331654.40ns</t>
  </si>
  <si>
    <t>1376806.40ns</t>
  </si>
  <si>
    <t>1380089.60ns</t>
  </si>
  <si>
    <t>1439014.40ns</t>
  </si>
  <si>
    <t>1442400.00ns</t>
  </si>
  <si>
    <t>1488012.80ns</t>
  </si>
  <si>
    <t>1491398.40ns</t>
  </si>
  <si>
    <t>1562662.40ns</t>
  </si>
  <si>
    <t>1565945.60ns</t>
  </si>
  <si>
    <t>1619699.20ns</t>
  </si>
  <si>
    <t>1622982.40ns</t>
  </si>
  <si>
    <t>1685491.20ns</t>
  </si>
  <si>
    <t>1688825.60ns</t>
  </si>
  <si>
    <t>1747033.60ns</t>
  </si>
  <si>
    <t>1750316.80ns</t>
  </si>
  <si>
    <t>1814668.80ns</t>
  </si>
  <si>
    <t>1818054.40ns</t>
  </si>
  <si>
    <t>1891264.00ns</t>
  </si>
  <si>
    <t>1894854.40ns</t>
  </si>
  <si>
    <t>1971545.60ns</t>
  </si>
  <si>
    <t>1974675.20ns</t>
  </si>
  <si>
    <t>2028428.80ns</t>
  </si>
  <si>
    <t>2031763.20ns</t>
  </si>
  <si>
    <t>2095705.60ns</t>
  </si>
  <si>
    <t>2098937.60ns</t>
  </si>
  <si>
    <t>2168358.40ns</t>
  </si>
  <si>
    <t>2171590.40ns</t>
  </si>
  <si>
    <t>2228979.20ns</t>
  </si>
  <si>
    <t>2232364.80ns</t>
  </si>
  <si>
    <t>2289139.20ns</t>
  </si>
  <si>
    <t>2292473.60ns</t>
  </si>
  <si>
    <t>2362713.60ns</t>
  </si>
  <si>
    <t>2366048.00ns</t>
  </si>
  <si>
    <t>2423488.00ns</t>
  </si>
  <si>
    <t>2426771.20ns</t>
  </si>
  <si>
    <t>2499212.80ns</t>
  </si>
  <si>
    <t>desync</t>
  </si>
  <si>
    <t>duration</t>
  </si>
  <si>
    <t>x</t>
  </si>
  <si>
    <t>0.00ns</t>
  </si>
  <si>
    <t>23948.80ns</t>
  </si>
  <si>
    <t>Slips</t>
  </si>
  <si>
    <t>2905.60ns</t>
  </si>
  <si>
    <t>13868.80ns</t>
  </si>
  <si>
    <t>15654.40ns</t>
  </si>
  <si>
    <t>1785.60ns</t>
  </si>
  <si>
    <t>29996.80ns</t>
  </si>
  <si>
    <t>31833.60ns</t>
  </si>
  <si>
    <t>34041.60ns</t>
  </si>
  <si>
    <t>35878.40ns</t>
  </si>
  <si>
    <t>43616.00ns</t>
  </si>
  <si>
    <t>45401.60ns</t>
  </si>
  <si>
    <t>46841.60ns</t>
  </si>
  <si>
    <t>48627.20ns</t>
  </si>
  <si>
    <t>80736.00ns</t>
  </si>
  <si>
    <t>82521.60ns</t>
  </si>
  <si>
    <t>82784.00ns</t>
  </si>
  <si>
    <t>84569.60ns</t>
  </si>
  <si>
    <t>90156.80ns</t>
  </si>
  <si>
    <t>91942.40ns</t>
  </si>
  <si>
    <t>109664.00ns</t>
  </si>
  <si>
    <t>111500.80ns</t>
  </si>
  <si>
    <t>115142.40ns</t>
  </si>
  <si>
    <t>116928.00ns</t>
  </si>
  <si>
    <t>126099.20ns</t>
  </si>
  <si>
    <t>127884.80ns</t>
  </si>
  <si>
    <t>129017.60ns</t>
  </si>
  <si>
    <t>130854.40ns</t>
  </si>
  <si>
    <t>147705.60ns</t>
  </si>
  <si>
    <t>149491.20ns</t>
  </si>
  <si>
    <t>184057.60ns</t>
  </si>
  <si>
    <t>185843.20ns</t>
  </si>
  <si>
    <t>191635.20ns</t>
  </si>
  <si>
    <t>193420.80ns</t>
  </si>
  <si>
    <t>196704.00ns</t>
  </si>
  <si>
    <t>198540.80ns</t>
  </si>
  <si>
    <t>210835.20ns</t>
  </si>
  <si>
    <t>212620.80ns</t>
  </si>
  <si>
    <t>214521.60ns</t>
  </si>
  <si>
    <t>216307.20ns</t>
  </si>
  <si>
    <t>218156.80ns</t>
  </si>
  <si>
    <t>219942.40ns</t>
  </si>
  <si>
    <t>232083.20ns</t>
  </si>
  <si>
    <t>235558.40ns</t>
  </si>
  <si>
    <t>3475.20ns</t>
  </si>
  <si>
    <t>236230.40ns</t>
  </si>
  <si>
    <t>238016.00ns</t>
  </si>
  <si>
    <t>248262.40ns</t>
  </si>
  <si>
    <t>250048.00ns</t>
  </si>
  <si>
    <t>duration (us)</t>
  </si>
  <si>
    <t>Free</t>
  </si>
  <si>
    <t>Parallel</t>
  </si>
  <si>
    <t>FFs</t>
  </si>
  <si>
    <t>LUTs</t>
  </si>
  <si>
    <t>DSPs</t>
  </si>
  <si>
    <t>BRAM</t>
  </si>
  <si>
    <t>:</t>
  </si>
  <si>
    <t>95584.00ns</t>
  </si>
  <si>
    <t>103974.40ns</t>
  </si>
  <si>
    <t>107411.20ns</t>
  </si>
  <si>
    <t>116825.60ns</t>
  </si>
  <si>
    <t>120262.40ns</t>
  </si>
  <si>
    <t>131264.00ns</t>
  </si>
  <si>
    <t>134547.20ns</t>
  </si>
  <si>
    <t>143756.80ns</t>
  </si>
  <si>
    <t>146937.60ns</t>
  </si>
  <si>
    <t>172428.80ns</t>
  </si>
  <si>
    <t>175814.40ns</t>
  </si>
  <si>
    <t>193574.40ns</t>
  </si>
  <si>
    <t>196908.80ns</t>
  </si>
  <si>
    <t>224396.80ns</t>
  </si>
  <si>
    <t>227833.60ns</t>
  </si>
  <si>
    <t>265920.00ns</t>
  </si>
  <si>
    <t>269049.60ns</t>
  </si>
  <si>
    <t>301043.20ns</t>
  </si>
  <si>
    <t>304428.80ns</t>
  </si>
  <si>
    <t>347481.60ns</t>
  </si>
  <si>
    <t>351379.20ns</t>
  </si>
  <si>
    <t>395558.40ns</t>
  </si>
  <si>
    <t>398278.40ns</t>
  </si>
  <si>
    <t>450188.80ns</t>
  </si>
  <si>
    <t>453625.60ns</t>
  </si>
  <si>
    <t>513164.80ns</t>
  </si>
  <si>
    <t>516499.20ns</t>
  </si>
  <si>
    <t>578188.80ns</t>
  </si>
  <si>
    <t>581472.00ns</t>
  </si>
  <si>
    <t>643417.60ns</t>
  </si>
  <si>
    <t>646803.20ns</t>
  </si>
  <si>
    <t>716224.00ns</t>
  </si>
  <si>
    <t>719507.20ns</t>
  </si>
  <si>
    <t>796454.40ns</t>
  </si>
  <si>
    <t>799891.20ns</t>
  </si>
  <si>
    <t>877248.00ns</t>
  </si>
  <si>
    <t>880684.80ns</t>
  </si>
  <si>
    <t>958963.20ns</t>
  </si>
  <si>
    <t>962144.00ns</t>
  </si>
  <si>
    <t>1047641.60ns</t>
  </si>
  <si>
    <t>1050924.80ns</t>
  </si>
  <si>
    <t>1144819.20ns</t>
  </si>
  <si>
    <t>1148307.20ns</t>
  </si>
  <si>
    <t>1245273.60ns</t>
  </si>
  <si>
    <t>1248454.40ns</t>
  </si>
  <si>
    <t>1334873.60ns</t>
  </si>
  <si>
    <t>1338208.00ns</t>
  </si>
  <si>
    <t>1442137.60ns</t>
  </si>
  <si>
    <t>1445574.40ns</t>
  </si>
  <si>
    <t>1557081.60ns</t>
  </si>
  <si>
    <t>1560620.80ns</t>
  </si>
  <si>
    <t>1672537.60ns</t>
  </si>
  <si>
    <t>1675667.20ns</t>
  </si>
  <si>
    <t>1788505.60ns</t>
  </si>
  <si>
    <t>1791686.40ns</t>
  </si>
  <si>
    <t>1912256.00ns</t>
  </si>
  <si>
    <t>1915641.60ns</t>
  </si>
  <si>
    <t>2044300.80ns</t>
  </si>
  <si>
    <t>2047635.20ns</t>
  </si>
  <si>
    <t>2176243.20ns</t>
  </si>
  <si>
    <t>2179577.60ns</t>
  </si>
  <si>
    <t>2309568.00ns</t>
  </si>
  <si>
    <t>2312902.40ns</t>
  </si>
  <si>
    <t>2451904.00ns</t>
  </si>
  <si>
    <t>2455238.40ns</t>
  </si>
  <si>
    <t>2584768.00ns</t>
  </si>
  <si>
    <t>2588102.40ns</t>
  </si>
  <si>
    <t>2723827.20ns</t>
  </si>
  <si>
    <t>2727161.60ns</t>
  </si>
  <si>
    <t>2874406.40ns</t>
  </si>
  <si>
    <t>2877740.80ns</t>
  </si>
  <si>
    <t>3033177.60ns</t>
  </si>
  <si>
    <t>3036563.20ns</t>
  </si>
  <si>
    <t>3198502.40ns</t>
  </si>
  <si>
    <t>3201785.60ns</t>
  </si>
  <si>
    <t>3364800.00ns</t>
  </si>
  <si>
    <t>3368441.60ns</t>
  </si>
  <si>
    <t>3523212.80ns</t>
  </si>
  <si>
    <t>3526240.00ns</t>
  </si>
  <si>
    <t>3698265.60ns</t>
  </si>
  <si>
    <t>3701600.00ns</t>
  </si>
  <si>
    <t>3882534.40ns</t>
  </si>
  <si>
    <t>3885920.00ns</t>
  </si>
  <si>
    <t>4057382.40ns</t>
  </si>
  <si>
    <t>4060768.00ns</t>
  </si>
  <si>
    <t>4242214.40ns</t>
  </si>
  <si>
    <t>4245446.40ns</t>
  </si>
  <si>
    <t>4426841.60ns</t>
  </si>
  <si>
    <t>4430176.00ns</t>
  </si>
  <si>
    <t>4627545.60ns</t>
  </si>
  <si>
    <t>4630931.20ns</t>
  </si>
  <si>
    <t>4821337.60ns</t>
  </si>
  <si>
    <t>4824620.80ns</t>
  </si>
  <si>
    <t>5005350.40ns</t>
  </si>
  <si>
    <t>5008684.80ns</t>
  </si>
  <si>
    <t>5213427.20ns</t>
  </si>
  <si>
    <t>5216864.00ns</t>
  </si>
  <si>
    <t>5430668.80ns</t>
  </si>
  <si>
    <t>5434105.60ns</t>
  </si>
  <si>
    <t>5650163.20ns</t>
  </si>
  <si>
    <t>5653292.80ns</t>
  </si>
  <si>
    <t>5871244.80ns</t>
  </si>
  <si>
    <t>5874630.40ns</t>
  </si>
  <si>
    <t>6090176.00ns</t>
  </si>
  <si>
    <t>6093408.00ns</t>
  </si>
  <si>
    <t>6305676.80ns</t>
  </si>
  <si>
    <t>6309216.00ns</t>
  </si>
  <si>
    <t>6540531.20ns</t>
  </si>
  <si>
    <t>6543712.00ns</t>
  </si>
  <si>
    <t>6777177.60ns</t>
  </si>
  <si>
    <t>6780563.20ns</t>
  </si>
  <si>
    <t>7013209.60ns</t>
  </si>
  <si>
    <t>7016544.00ns</t>
  </si>
  <si>
    <t>7249190.40ns</t>
  </si>
  <si>
    <t>7252422.40ns</t>
  </si>
  <si>
    <t>7502169.60ns</t>
  </si>
  <si>
    <t>7505504.00ns</t>
  </si>
  <si>
    <t>7745932.80ns</t>
  </si>
  <si>
    <t>7749267.20ns</t>
  </si>
  <si>
    <t>7980275.20ns</t>
  </si>
  <si>
    <t>7983609.60ns</t>
  </si>
  <si>
    <t>7987340.80ns</t>
  </si>
  <si>
    <t>7990624.00ns</t>
  </si>
  <si>
    <t>8204019.20ns</t>
  </si>
  <si>
    <t>8207456.00ns</t>
  </si>
  <si>
    <t>8215795.20ns</t>
  </si>
  <si>
    <t>8219129.60ns</t>
  </si>
  <si>
    <t>8473689.60ns</t>
  </si>
  <si>
    <t>Index</t>
  </si>
  <si>
    <t>PS</t>
  </si>
  <si>
    <t>HS6</t>
  </si>
  <si>
    <t>HS3</t>
  </si>
  <si>
    <t>Original Scheme</t>
  </si>
  <si>
    <t>HS1</t>
  </si>
  <si>
    <t>HS2</t>
  </si>
  <si>
    <t>HS11</t>
  </si>
  <si>
    <t>HS22</t>
  </si>
  <si>
    <t>HS33</t>
  </si>
  <si>
    <t>Performace</t>
  </si>
  <si>
    <t>Resource Util</t>
  </si>
  <si>
    <t>Original</t>
  </si>
  <si>
    <t>Colors</t>
  </si>
  <si>
    <t>#EF6C00</t>
  </si>
  <si>
    <t>#AC1356</t>
  </si>
  <si>
    <t>#6A1B9A</t>
  </si>
  <si>
    <t>#273693</t>
  </si>
  <si>
    <t>#1C88E3</t>
  </si>
  <si>
    <t>#424242</t>
  </si>
  <si>
    <t>#FFC746</t>
  </si>
  <si>
    <t>#4CB6AC</t>
  </si>
  <si>
    <t>#FE7272</t>
  </si>
  <si>
    <t>FP</t>
  </si>
  <si>
    <t>Every Third Offset</t>
  </si>
  <si>
    <t>First Two Offsets of Every Three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</si>
</sst>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EF6C00"/>
        <bgColor indexed="64"/>
      </patternFill>
    </fill>
    <fill>
      <patternFill patternType="solid">
        <fgColor rgb="FFAC1356"/>
        <bgColor indexed="64"/>
      </patternFill>
    </fill>
    <fill>
      <patternFill patternType="solid">
        <fgColor rgb="FF6A1B9A"/>
        <bgColor indexed="64"/>
      </patternFill>
    </fill>
    <fill>
      <patternFill patternType="solid">
        <fgColor rgb="FF273693"/>
        <bgColor indexed="64"/>
      </patternFill>
    </fill>
    <fill>
      <patternFill patternType="solid">
        <fgColor rgb="FF1C88E3"/>
        <bgColor indexed="64"/>
      </patternFill>
    </fill>
    <fill>
      <patternFill patternType="solid">
        <fgColor rgb="FF424242"/>
        <bgColor indexed="64"/>
      </patternFill>
    </fill>
    <fill>
      <patternFill patternType="solid">
        <fgColor rgb="FFFFC746"/>
        <bgColor indexed="64"/>
      </patternFill>
    </fill>
    <fill>
      <patternFill patternType="solid">
        <fgColor rgb="FF4CB6AC"/>
        <bgColor indexed="64"/>
      </patternFill>
    </fill>
    <fill>
      <patternFill patternType="solid">
        <fgColor rgb="FFFE727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7">
    <xf numFmtId="0" fontId="0" fillId="0" borderId="0" xfId="0"/>
    <xf numFmtId="1" fontId="0" fillId="0" borderId="0" xfId="0" applyNumberFormat="1"/>
    <xf numFmtId="0" fontId="0" fillId="0" borderId="0" xfId="0" applyNumberFormat="1"/>
    <xf numFmtId="2" fontId="0" fillId="0" borderId="0" xfId="0" applyNumberFormat="1"/>
    <xf numFmtId="10" fontId="0" fillId="0" borderId="0" xfId="1" applyNumberFormat="1" applyFont="1"/>
    <xf numFmtId="10" fontId="0" fillId="0" borderId="0" xfId="0" applyNumberFormat="1"/>
    <xf numFmtId="9" fontId="0" fillId="0" borderId="0" xfId="1" applyFont="1"/>
    <xf numFmtId="0" fontId="2" fillId="2" borderId="0" xfId="0" applyFont="1" applyFill="1"/>
    <xf numFmtId="0" fontId="2" fillId="3" borderId="0" xfId="0" applyFont="1" applyFill="1"/>
    <xf numFmtId="0" fontId="2" fillId="4" borderId="0" xfId="0" applyFont="1" applyFill="1"/>
    <xf numFmtId="0" fontId="2" fillId="5" borderId="0" xfId="0" applyFont="1" applyFill="1"/>
    <xf numFmtId="0" fontId="2" fillId="6" borderId="0" xfId="0" applyFont="1" applyFill="1"/>
    <xf numFmtId="0" fontId="2" fillId="7" borderId="0" xfId="0" applyFont="1" applyFill="1"/>
    <xf numFmtId="0" fontId="2" fillId="8" borderId="0" xfId="0" applyFont="1" applyFill="1"/>
    <xf numFmtId="0" fontId="2" fillId="9" borderId="0" xfId="0" applyFont="1" applyFill="1"/>
    <xf numFmtId="0" fontId="2" fillId="10" borderId="0" xfId="0" applyFont="1" applyFill="1"/>
    <xf numFmtId="0" fontId="2" fillId="0" borderId="0" xfId="0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FEB8B8"/>
      <color rgb="FFFD0707"/>
      <color rgb="FFFE7272"/>
      <color rgb="FF424242"/>
      <color rgb="FF1C88E3"/>
      <color rgb="FF205A68"/>
      <color rgb="FF4CB6AC"/>
      <color rgb="FF273693"/>
      <color rgb="FF6A1B9A"/>
      <color rgb="FFAC135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Duration of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Offset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Sheet1!$Z$2:$Z$66</c:f>
              <c:numCache>
                <c:formatCode>0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Sheet1!$AA$2:$AA$66</c:f>
              <c:numCache>
                <c:formatCode>General</c:formatCode>
                <c:ptCount val="65"/>
                <c:pt idx="0">
                  <c:v>119340.8</c:v>
                </c:pt>
                <c:pt idx="1">
                  <c:v>131424</c:v>
                </c:pt>
                <c:pt idx="2">
                  <c:v>203820.79999999999</c:v>
                </c:pt>
                <c:pt idx="3">
                  <c:v>155539.20000000001</c:v>
                </c:pt>
                <c:pt idx="4">
                  <c:v>25644.799999999999</c:v>
                </c:pt>
                <c:pt idx="5">
                  <c:v>44128</c:v>
                </c:pt>
                <c:pt idx="6">
                  <c:v>33734.400000000001</c:v>
                </c:pt>
                <c:pt idx="7">
                  <c:v>8492.7999999999993</c:v>
                </c:pt>
                <c:pt idx="8">
                  <c:v>5830.4</c:v>
                </c:pt>
                <c:pt idx="9">
                  <c:v>99987.199999999997</c:v>
                </c:pt>
                <c:pt idx="10">
                  <c:v>52217.599999999999</c:v>
                </c:pt>
                <c:pt idx="11">
                  <c:v>251641.60000000001</c:v>
                </c:pt>
                <c:pt idx="12">
                  <c:v>3628.8</c:v>
                </c:pt>
                <c:pt idx="13">
                  <c:v>15609.6</c:v>
                </c:pt>
                <c:pt idx="14">
                  <c:v>60204.800000000003</c:v>
                </c:pt>
                <c:pt idx="15">
                  <c:v>165011.20000000001</c:v>
                </c:pt>
                <c:pt idx="16">
                  <c:v>187948.79999999999</c:v>
                </c:pt>
                <c:pt idx="17">
                  <c:v>61024</c:v>
                </c:pt>
                <c:pt idx="18">
                  <c:v>33836.800000000003</c:v>
                </c:pt>
                <c:pt idx="19">
                  <c:v>1836.8</c:v>
                </c:pt>
                <c:pt idx="20">
                  <c:v>25849.599999999999</c:v>
                </c:pt>
                <c:pt idx="21">
                  <c:v>79097.600000000006</c:v>
                </c:pt>
                <c:pt idx="22">
                  <c:v>231520</c:v>
                </c:pt>
                <c:pt idx="23">
                  <c:v>1939.2</c:v>
                </c:pt>
                <c:pt idx="24">
                  <c:v>42694.400000000001</c:v>
                </c:pt>
                <c:pt idx="25">
                  <c:v>61433.599999999999</c:v>
                </c:pt>
                <c:pt idx="26">
                  <c:v>110944</c:v>
                </c:pt>
                <c:pt idx="27">
                  <c:v>170694.39999999999</c:v>
                </c:pt>
                <c:pt idx="28">
                  <c:v>8544</c:v>
                </c:pt>
                <c:pt idx="29">
                  <c:v>10233.6</c:v>
                </c:pt>
                <c:pt idx="30">
                  <c:v>16838.400000000001</c:v>
                </c:pt>
                <c:pt idx="31">
                  <c:v>8236.7999999999993</c:v>
                </c:pt>
                <c:pt idx="32">
                  <c:v>232595.20000000001</c:v>
                </c:pt>
                <c:pt idx="33">
                  <c:v>164601.60000000001</c:v>
                </c:pt>
                <c:pt idx="34">
                  <c:v>118777.60000000001</c:v>
                </c:pt>
                <c:pt idx="35">
                  <c:v>78022.399999999994</c:v>
                </c:pt>
                <c:pt idx="36">
                  <c:v>50937.599999999999</c:v>
                </c:pt>
                <c:pt idx="37">
                  <c:v>35168</c:v>
                </c:pt>
                <c:pt idx="38">
                  <c:v>220153.60000000001</c:v>
                </c:pt>
                <c:pt idx="39">
                  <c:v>77612.800000000003</c:v>
                </c:pt>
                <c:pt idx="40">
                  <c:v>3731.2</c:v>
                </c:pt>
                <c:pt idx="41">
                  <c:v>32249.599999999999</c:v>
                </c:pt>
                <c:pt idx="42">
                  <c:v>25388.799999999999</c:v>
                </c:pt>
                <c:pt idx="43">
                  <c:v>1888</c:v>
                </c:pt>
                <c:pt idx="44">
                  <c:v>33785.599999999999</c:v>
                </c:pt>
                <c:pt idx="45">
                  <c:v>3628.8</c:v>
                </c:pt>
                <c:pt idx="46">
                  <c:v>32198.400000000001</c:v>
                </c:pt>
                <c:pt idx="47">
                  <c:v>10899.2</c:v>
                </c:pt>
                <c:pt idx="48">
                  <c:v>128608</c:v>
                </c:pt>
                <c:pt idx="49">
                  <c:v>27692.799999999999</c:v>
                </c:pt>
                <c:pt idx="50">
                  <c:v>110329.60000000001</c:v>
                </c:pt>
                <c:pt idx="51">
                  <c:v>70700.800000000003</c:v>
                </c:pt>
                <c:pt idx="52">
                  <c:v>248108.79999999999</c:v>
                </c:pt>
                <c:pt idx="53">
                  <c:v>234489.60000000001</c:v>
                </c:pt>
                <c:pt idx="54">
                  <c:v>220563.20000000001</c:v>
                </c:pt>
                <c:pt idx="55">
                  <c:v>138387.20000000001</c:v>
                </c:pt>
                <c:pt idx="56">
                  <c:v>241094.39999999999</c:v>
                </c:pt>
                <c:pt idx="57">
                  <c:v>180780.79999999999</c:v>
                </c:pt>
                <c:pt idx="58">
                  <c:v>10387.200000000001</c:v>
                </c:pt>
                <c:pt idx="59">
                  <c:v>25184</c:v>
                </c:pt>
                <c:pt idx="60">
                  <c:v>254969.60000000001</c:v>
                </c:pt>
                <c:pt idx="61">
                  <c:v>241196.79999999999</c:v>
                </c:pt>
                <c:pt idx="62">
                  <c:v>203104</c:v>
                </c:pt>
                <c:pt idx="63">
                  <c:v>61484.800000000003</c:v>
                </c:pt>
                <c:pt idx="64">
                  <c:v>111251.2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838-4C34-BFC5-883FEA9B92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41216"/>
        <c:axId val="941440800"/>
      </c:scatterChart>
      <c:valAx>
        <c:axId val="941441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40800"/>
        <c:crosses val="autoZero"/>
        <c:crossBetween val="midCat"/>
      </c:valAx>
      <c:valAx>
        <c:axId val="941440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41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Serdes Slips During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Sheet1!$AB$1</c:f>
              <c:strCache>
                <c:ptCount val="1"/>
                <c:pt idx="0">
                  <c:v>Serdes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Sheet1!$Z$2:$Z$66</c:f>
              <c:numCache>
                <c:formatCode>0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Sheet1!$AB$2:$AB$66</c:f>
              <c:numCache>
                <c:formatCode>General</c:formatCode>
                <c:ptCount val="65"/>
                <c:pt idx="0">
                  <c:v>110</c:v>
                </c:pt>
                <c:pt idx="1">
                  <c:v>120</c:v>
                </c:pt>
                <c:pt idx="2">
                  <c:v>190</c:v>
                </c:pt>
                <c:pt idx="3">
                  <c:v>144</c:v>
                </c:pt>
                <c:pt idx="4">
                  <c:v>22</c:v>
                </c:pt>
                <c:pt idx="5">
                  <c:v>40</c:v>
                </c:pt>
                <c:pt idx="6">
                  <c:v>30</c:v>
                </c:pt>
                <c:pt idx="7">
                  <c:v>6</c:v>
                </c:pt>
                <c:pt idx="8">
                  <c:v>4</c:v>
                </c:pt>
                <c:pt idx="9">
                  <c:v>93</c:v>
                </c:pt>
                <c:pt idx="10">
                  <c:v>46</c:v>
                </c:pt>
                <c:pt idx="11">
                  <c:v>232</c:v>
                </c:pt>
                <c:pt idx="12">
                  <c:v>2</c:v>
                </c:pt>
                <c:pt idx="13">
                  <c:v>13</c:v>
                </c:pt>
                <c:pt idx="14">
                  <c:v>54</c:v>
                </c:pt>
                <c:pt idx="15">
                  <c:v>152</c:v>
                </c:pt>
                <c:pt idx="16">
                  <c:v>174</c:v>
                </c:pt>
                <c:pt idx="17">
                  <c:v>56</c:v>
                </c:pt>
                <c:pt idx="18">
                  <c:v>30</c:v>
                </c:pt>
                <c:pt idx="19">
                  <c:v>0</c:v>
                </c:pt>
                <c:pt idx="20">
                  <c:v>22</c:v>
                </c:pt>
                <c:pt idx="21">
                  <c:v>72</c:v>
                </c:pt>
                <c:pt idx="22">
                  <c:v>214</c:v>
                </c:pt>
                <c:pt idx="23">
                  <c:v>0</c:v>
                </c:pt>
                <c:pt idx="24">
                  <c:v>38</c:v>
                </c:pt>
                <c:pt idx="25">
                  <c:v>56</c:v>
                </c:pt>
                <c:pt idx="26">
                  <c:v>102</c:v>
                </c:pt>
                <c:pt idx="27">
                  <c:v>160</c:v>
                </c:pt>
                <c:pt idx="28">
                  <c:v>6</c:v>
                </c:pt>
                <c:pt idx="29">
                  <c:v>8</c:v>
                </c:pt>
                <c:pt idx="30">
                  <c:v>14</c:v>
                </c:pt>
                <c:pt idx="31">
                  <c:v>6</c:v>
                </c:pt>
                <c:pt idx="32">
                  <c:v>216</c:v>
                </c:pt>
                <c:pt idx="33">
                  <c:v>152</c:v>
                </c:pt>
                <c:pt idx="34">
                  <c:v>110</c:v>
                </c:pt>
                <c:pt idx="35">
                  <c:v>72</c:v>
                </c:pt>
                <c:pt idx="36">
                  <c:v>46</c:v>
                </c:pt>
                <c:pt idx="37">
                  <c:v>32</c:v>
                </c:pt>
                <c:pt idx="38">
                  <c:v>206</c:v>
                </c:pt>
                <c:pt idx="39">
                  <c:v>72</c:v>
                </c:pt>
                <c:pt idx="40">
                  <c:v>2</c:v>
                </c:pt>
                <c:pt idx="41">
                  <c:v>29</c:v>
                </c:pt>
                <c:pt idx="42">
                  <c:v>22</c:v>
                </c:pt>
                <c:pt idx="43">
                  <c:v>0</c:v>
                </c:pt>
                <c:pt idx="44">
                  <c:v>30</c:v>
                </c:pt>
                <c:pt idx="45">
                  <c:v>2</c:v>
                </c:pt>
                <c:pt idx="46">
                  <c:v>28</c:v>
                </c:pt>
                <c:pt idx="47">
                  <c:v>8</c:v>
                </c:pt>
                <c:pt idx="48">
                  <c:v>118</c:v>
                </c:pt>
                <c:pt idx="49">
                  <c:v>24</c:v>
                </c:pt>
                <c:pt idx="50">
                  <c:v>102</c:v>
                </c:pt>
                <c:pt idx="51">
                  <c:v>64</c:v>
                </c:pt>
                <c:pt idx="52">
                  <c:v>230</c:v>
                </c:pt>
                <c:pt idx="53">
                  <c:v>216</c:v>
                </c:pt>
                <c:pt idx="54">
                  <c:v>206</c:v>
                </c:pt>
                <c:pt idx="55">
                  <c:v>128</c:v>
                </c:pt>
                <c:pt idx="56">
                  <c:v>224</c:v>
                </c:pt>
                <c:pt idx="57">
                  <c:v>166</c:v>
                </c:pt>
                <c:pt idx="58">
                  <c:v>8</c:v>
                </c:pt>
                <c:pt idx="59">
                  <c:v>22</c:v>
                </c:pt>
                <c:pt idx="60">
                  <c:v>238</c:v>
                </c:pt>
                <c:pt idx="61">
                  <c:v>224</c:v>
                </c:pt>
                <c:pt idx="62">
                  <c:v>190</c:v>
                </c:pt>
                <c:pt idx="63">
                  <c:v>56</c:v>
                </c:pt>
                <c:pt idx="64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30-46CE-9EF8-60E97105A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10464"/>
        <c:axId val="411105472"/>
      </c:scatterChart>
      <c:valAx>
        <c:axId val="411110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5472"/>
        <c:crosses val="autoZero"/>
        <c:crossBetween val="midCat"/>
      </c:valAx>
      <c:valAx>
        <c:axId val="41110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Serdes Slips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10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Gearbox Slips During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Sheet1!$Z$2:$Z$66</c:f>
              <c:numCache>
                <c:formatCode>0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Sheet1!$AC$2:$AC$66</c:f>
              <c:numCache>
                <c:formatCode>General</c:formatCode>
                <c:ptCount val="65"/>
                <c:pt idx="0">
                  <c:v>6</c:v>
                </c:pt>
                <c:pt idx="1">
                  <c:v>0</c:v>
                </c:pt>
                <c:pt idx="2">
                  <c:v>6</c:v>
                </c:pt>
                <c:pt idx="3">
                  <c:v>0</c:v>
                </c:pt>
                <c:pt idx="4">
                  <c:v>6</c:v>
                </c:pt>
                <c:pt idx="5">
                  <c:v>0</c:v>
                </c:pt>
                <c:pt idx="6">
                  <c:v>6</c:v>
                </c:pt>
                <c:pt idx="7">
                  <c:v>6</c:v>
                </c:pt>
                <c:pt idx="8">
                  <c:v>4</c:v>
                </c:pt>
                <c:pt idx="9">
                  <c:v>5</c:v>
                </c:pt>
                <c:pt idx="10">
                  <c:v>6</c:v>
                </c:pt>
                <c:pt idx="11">
                  <c:v>0</c:v>
                </c:pt>
                <c:pt idx="12">
                  <c:v>2</c:v>
                </c:pt>
                <c:pt idx="13">
                  <c:v>5</c:v>
                </c:pt>
                <c:pt idx="14">
                  <c:v>6</c:v>
                </c:pt>
                <c:pt idx="15">
                  <c:v>0</c:v>
                </c:pt>
                <c:pt idx="16">
                  <c:v>6</c:v>
                </c:pt>
                <c:pt idx="17">
                  <c:v>0</c:v>
                </c:pt>
                <c:pt idx="18">
                  <c:v>6</c:v>
                </c:pt>
                <c:pt idx="19">
                  <c:v>0</c:v>
                </c:pt>
                <c:pt idx="20">
                  <c:v>6</c:v>
                </c:pt>
                <c:pt idx="21">
                  <c:v>0</c:v>
                </c:pt>
                <c:pt idx="22">
                  <c:v>6</c:v>
                </c:pt>
                <c:pt idx="23">
                  <c:v>0</c:v>
                </c:pt>
                <c:pt idx="24">
                  <c:v>6</c:v>
                </c:pt>
                <c:pt idx="25">
                  <c:v>0</c:v>
                </c:pt>
                <c:pt idx="26">
                  <c:v>6</c:v>
                </c:pt>
                <c:pt idx="27">
                  <c:v>0</c:v>
                </c:pt>
                <c:pt idx="28">
                  <c:v>6</c:v>
                </c:pt>
                <c:pt idx="29">
                  <c:v>0</c:v>
                </c:pt>
                <c:pt idx="30">
                  <c:v>6</c:v>
                </c:pt>
                <c:pt idx="31">
                  <c:v>6</c:v>
                </c:pt>
                <c:pt idx="32">
                  <c:v>0</c:v>
                </c:pt>
                <c:pt idx="33">
                  <c:v>0</c:v>
                </c:pt>
                <c:pt idx="34">
                  <c:v>6</c:v>
                </c:pt>
                <c:pt idx="35">
                  <c:v>0</c:v>
                </c:pt>
                <c:pt idx="36">
                  <c:v>6</c:v>
                </c:pt>
                <c:pt idx="37">
                  <c:v>0</c:v>
                </c:pt>
                <c:pt idx="38">
                  <c:v>6</c:v>
                </c:pt>
                <c:pt idx="39">
                  <c:v>0</c:v>
                </c:pt>
                <c:pt idx="40">
                  <c:v>2</c:v>
                </c:pt>
                <c:pt idx="41">
                  <c:v>5</c:v>
                </c:pt>
                <c:pt idx="42">
                  <c:v>6</c:v>
                </c:pt>
                <c:pt idx="43">
                  <c:v>0</c:v>
                </c:pt>
                <c:pt idx="44">
                  <c:v>6</c:v>
                </c:pt>
                <c:pt idx="45">
                  <c:v>2</c:v>
                </c:pt>
                <c:pt idx="46">
                  <c:v>4</c:v>
                </c:pt>
                <c:pt idx="47">
                  <c:v>0</c:v>
                </c:pt>
                <c:pt idx="48">
                  <c:v>6</c:v>
                </c:pt>
                <c:pt idx="49">
                  <c:v>0</c:v>
                </c:pt>
                <c:pt idx="50">
                  <c:v>6</c:v>
                </c:pt>
                <c:pt idx="51">
                  <c:v>0</c:v>
                </c:pt>
                <c:pt idx="52">
                  <c:v>6</c:v>
                </c:pt>
                <c:pt idx="53">
                  <c:v>0</c:v>
                </c:pt>
                <c:pt idx="54">
                  <c:v>6</c:v>
                </c:pt>
                <c:pt idx="55">
                  <c:v>0</c:v>
                </c:pt>
                <c:pt idx="56">
                  <c:v>0</c:v>
                </c:pt>
                <c:pt idx="57">
                  <c:v>6</c:v>
                </c:pt>
                <c:pt idx="58">
                  <c:v>0</c:v>
                </c:pt>
                <c:pt idx="59">
                  <c:v>6</c:v>
                </c:pt>
                <c:pt idx="60">
                  <c:v>6</c:v>
                </c:pt>
                <c:pt idx="61">
                  <c:v>0</c:v>
                </c:pt>
                <c:pt idx="62">
                  <c:v>6</c:v>
                </c:pt>
                <c:pt idx="63">
                  <c:v>0</c:v>
                </c:pt>
                <c:pt idx="64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37-4B37-884E-4E12571EC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3808960"/>
        <c:axId val="413803552"/>
      </c:scatterChart>
      <c:valAx>
        <c:axId val="413808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803552"/>
        <c:crosses val="autoZero"/>
        <c:crossBetween val="midCat"/>
      </c:valAx>
      <c:valAx>
        <c:axId val="413803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Gearbox Slips</a:t>
                </a:r>
              </a:p>
            </c:rich>
          </c:tx>
          <c:layout>
            <c:manualLayout>
              <c:xMode val="edge"/>
              <c:yMode val="edge"/>
              <c:x val="3.0555555555555555E-2"/>
              <c:y val="0.394251603966170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808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Serdes Slips Mod 8 During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Sheet1!$Z$2:$Z$66</c:f>
              <c:numCache>
                <c:formatCode>0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Sheet1!$AC$2:$AC$66</c:f>
              <c:numCache>
                <c:formatCode>General</c:formatCode>
                <c:ptCount val="65"/>
                <c:pt idx="0">
                  <c:v>6</c:v>
                </c:pt>
                <c:pt idx="1">
                  <c:v>0</c:v>
                </c:pt>
                <c:pt idx="2">
                  <c:v>6</c:v>
                </c:pt>
                <c:pt idx="3">
                  <c:v>0</c:v>
                </c:pt>
                <c:pt idx="4">
                  <c:v>6</c:v>
                </c:pt>
                <c:pt idx="5">
                  <c:v>0</c:v>
                </c:pt>
                <c:pt idx="6">
                  <c:v>6</c:v>
                </c:pt>
                <c:pt idx="7">
                  <c:v>6</c:v>
                </c:pt>
                <c:pt idx="8">
                  <c:v>4</c:v>
                </c:pt>
                <c:pt idx="9">
                  <c:v>5</c:v>
                </c:pt>
                <c:pt idx="10">
                  <c:v>6</c:v>
                </c:pt>
                <c:pt idx="11">
                  <c:v>0</c:v>
                </c:pt>
                <c:pt idx="12">
                  <c:v>2</c:v>
                </c:pt>
                <c:pt idx="13">
                  <c:v>5</c:v>
                </c:pt>
                <c:pt idx="14">
                  <c:v>6</c:v>
                </c:pt>
                <c:pt idx="15">
                  <c:v>0</c:v>
                </c:pt>
                <c:pt idx="16">
                  <c:v>6</c:v>
                </c:pt>
                <c:pt idx="17">
                  <c:v>0</c:v>
                </c:pt>
                <c:pt idx="18">
                  <c:v>6</c:v>
                </c:pt>
                <c:pt idx="19">
                  <c:v>0</c:v>
                </c:pt>
                <c:pt idx="20">
                  <c:v>6</c:v>
                </c:pt>
                <c:pt idx="21">
                  <c:v>0</c:v>
                </c:pt>
                <c:pt idx="22">
                  <c:v>6</c:v>
                </c:pt>
                <c:pt idx="23">
                  <c:v>0</c:v>
                </c:pt>
                <c:pt idx="24">
                  <c:v>6</c:v>
                </c:pt>
                <c:pt idx="25">
                  <c:v>0</c:v>
                </c:pt>
                <c:pt idx="26">
                  <c:v>6</c:v>
                </c:pt>
                <c:pt idx="27">
                  <c:v>0</c:v>
                </c:pt>
                <c:pt idx="28">
                  <c:v>6</c:v>
                </c:pt>
                <c:pt idx="29">
                  <c:v>0</c:v>
                </c:pt>
                <c:pt idx="30">
                  <c:v>6</c:v>
                </c:pt>
                <c:pt idx="31">
                  <c:v>6</c:v>
                </c:pt>
                <c:pt idx="32">
                  <c:v>0</c:v>
                </c:pt>
                <c:pt idx="33">
                  <c:v>0</c:v>
                </c:pt>
                <c:pt idx="34">
                  <c:v>6</c:v>
                </c:pt>
                <c:pt idx="35">
                  <c:v>0</c:v>
                </c:pt>
                <c:pt idx="36">
                  <c:v>6</c:v>
                </c:pt>
                <c:pt idx="37">
                  <c:v>0</c:v>
                </c:pt>
                <c:pt idx="38">
                  <c:v>6</c:v>
                </c:pt>
                <c:pt idx="39">
                  <c:v>0</c:v>
                </c:pt>
                <c:pt idx="40">
                  <c:v>2</c:v>
                </c:pt>
                <c:pt idx="41">
                  <c:v>5</c:v>
                </c:pt>
                <c:pt idx="42">
                  <c:v>6</c:v>
                </c:pt>
                <c:pt idx="43">
                  <c:v>0</c:v>
                </c:pt>
                <c:pt idx="44">
                  <c:v>6</c:v>
                </c:pt>
                <c:pt idx="45">
                  <c:v>2</c:v>
                </c:pt>
                <c:pt idx="46">
                  <c:v>4</c:v>
                </c:pt>
                <c:pt idx="47">
                  <c:v>0</c:v>
                </c:pt>
                <c:pt idx="48">
                  <c:v>6</c:v>
                </c:pt>
                <c:pt idx="49">
                  <c:v>0</c:v>
                </c:pt>
                <c:pt idx="50">
                  <c:v>6</c:v>
                </c:pt>
                <c:pt idx="51">
                  <c:v>0</c:v>
                </c:pt>
                <c:pt idx="52">
                  <c:v>6</c:v>
                </c:pt>
                <c:pt idx="53">
                  <c:v>0</c:v>
                </c:pt>
                <c:pt idx="54">
                  <c:v>6</c:v>
                </c:pt>
                <c:pt idx="55">
                  <c:v>0</c:v>
                </c:pt>
                <c:pt idx="56">
                  <c:v>0</c:v>
                </c:pt>
                <c:pt idx="57">
                  <c:v>6</c:v>
                </c:pt>
                <c:pt idx="58">
                  <c:v>0</c:v>
                </c:pt>
                <c:pt idx="59">
                  <c:v>6</c:v>
                </c:pt>
                <c:pt idx="60">
                  <c:v>6</c:v>
                </c:pt>
                <c:pt idx="61">
                  <c:v>0</c:v>
                </c:pt>
                <c:pt idx="62">
                  <c:v>6</c:v>
                </c:pt>
                <c:pt idx="63">
                  <c:v>0</c:v>
                </c:pt>
                <c:pt idx="64">
                  <c:v>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1C-4224-ACBC-273856CDE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632080"/>
        <c:axId val="927639984"/>
      </c:scatterChart>
      <c:valAx>
        <c:axId val="9276320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639984"/>
        <c:crosses val="autoZero"/>
        <c:crossBetween val="midCat"/>
      </c:valAx>
      <c:valAx>
        <c:axId val="92763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Serdes Slips after Final Gbox Slip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632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Duration of Recovery (Offset)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Sheet2!$L$1</c:f>
              <c:strCache>
                <c:ptCount val="1"/>
                <c:pt idx="0">
                  <c:v>Error Duration: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Sheet2!$L$2:$L$66</c:f>
              <c:numCache>
                <c:formatCode>General</c:formatCode>
                <c:ptCount val="65"/>
                <c:pt idx="0">
                  <c:v>128659.2</c:v>
                </c:pt>
                <c:pt idx="1">
                  <c:v>189792</c:v>
                </c:pt>
                <c:pt idx="2">
                  <c:v>207302.39999999999</c:v>
                </c:pt>
                <c:pt idx="3">
                  <c:v>36396.800000000003</c:v>
                </c:pt>
                <c:pt idx="4">
                  <c:v>198956.79999999999</c:v>
                </c:pt>
                <c:pt idx="5">
                  <c:v>53958.400000000001</c:v>
                </c:pt>
                <c:pt idx="6">
                  <c:v>76640</c:v>
                </c:pt>
                <c:pt idx="7">
                  <c:v>179091.20000000001</c:v>
                </c:pt>
                <c:pt idx="8">
                  <c:v>26720</c:v>
                </c:pt>
                <c:pt idx="9">
                  <c:v>94816</c:v>
                </c:pt>
                <c:pt idx="10">
                  <c:v>58412.800000000003</c:v>
                </c:pt>
                <c:pt idx="11">
                  <c:v>247955.20000000001</c:v>
                </c:pt>
                <c:pt idx="12">
                  <c:v>112480</c:v>
                </c:pt>
                <c:pt idx="13">
                  <c:v>51808</c:v>
                </c:pt>
                <c:pt idx="14">
                  <c:v>77510.399999999994</c:v>
                </c:pt>
                <c:pt idx="15">
                  <c:v>146835.20000000001</c:v>
                </c:pt>
                <c:pt idx="16">
                  <c:v>18425.599999999999</c:v>
                </c:pt>
                <c:pt idx="17">
                  <c:v>70752</c:v>
                </c:pt>
                <c:pt idx="18">
                  <c:v>130912</c:v>
                </c:pt>
                <c:pt idx="19">
                  <c:v>173766.39999999999</c:v>
                </c:pt>
                <c:pt idx="20">
                  <c:v>239353.60000000001</c:v>
                </c:pt>
                <c:pt idx="21">
                  <c:v>113401.60000000001</c:v>
                </c:pt>
                <c:pt idx="22">
                  <c:v>43411.199999999997</c:v>
                </c:pt>
                <c:pt idx="23">
                  <c:v>36294.400000000001</c:v>
                </c:pt>
                <c:pt idx="24">
                  <c:v>103571.2</c:v>
                </c:pt>
                <c:pt idx="25">
                  <c:v>129427.2</c:v>
                </c:pt>
                <c:pt idx="26">
                  <c:v>138694.39999999999</c:v>
                </c:pt>
                <c:pt idx="27">
                  <c:v>207763.20000000001</c:v>
                </c:pt>
                <c:pt idx="28">
                  <c:v>145862.39999999999</c:v>
                </c:pt>
                <c:pt idx="29">
                  <c:v>102240</c:v>
                </c:pt>
                <c:pt idx="30">
                  <c:v>139820.79999999999</c:v>
                </c:pt>
                <c:pt idx="31">
                  <c:v>104185.60000000001</c:v>
                </c:pt>
                <c:pt idx="32">
                  <c:v>222662.39999999999</c:v>
                </c:pt>
                <c:pt idx="33">
                  <c:v>28000</c:v>
                </c:pt>
                <c:pt idx="34">
                  <c:v>146118.39999999999</c:v>
                </c:pt>
                <c:pt idx="35">
                  <c:v>65836.800000000003</c:v>
                </c:pt>
                <c:pt idx="36">
                  <c:v>103468.8</c:v>
                </c:pt>
                <c:pt idx="37">
                  <c:v>199008</c:v>
                </c:pt>
                <c:pt idx="38">
                  <c:v>87545.600000000006</c:v>
                </c:pt>
                <c:pt idx="39">
                  <c:v>129836.8</c:v>
                </c:pt>
                <c:pt idx="40">
                  <c:v>35577.599999999999</c:v>
                </c:pt>
                <c:pt idx="41">
                  <c:v>232748.79999999999</c:v>
                </c:pt>
                <c:pt idx="42">
                  <c:v>223532.79999999999</c:v>
                </c:pt>
                <c:pt idx="43">
                  <c:v>8339.2000000000007</c:v>
                </c:pt>
                <c:pt idx="44">
                  <c:v>259014.39999999999</c:v>
                </c:pt>
                <c:pt idx="45">
                  <c:v>96915.199999999997</c:v>
                </c:pt>
                <c:pt idx="46">
                  <c:v>102905.60000000001</c:v>
                </c:pt>
                <c:pt idx="47">
                  <c:v>249286.39999999999</c:v>
                </c:pt>
                <c:pt idx="48">
                  <c:v>110483.2</c:v>
                </c:pt>
                <c:pt idx="49">
                  <c:v>241606.39999999999</c:v>
                </c:pt>
                <c:pt idx="50">
                  <c:v>148064</c:v>
                </c:pt>
                <c:pt idx="51">
                  <c:v>8595.2000000000007</c:v>
                </c:pt>
                <c:pt idx="52">
                  <c:v>61075.199999999997</c:v>
                </c:pt>
                <c:pt idx="53">
                  <c:v>1836.8</c:v>
                </c:pt>
                <c:pt idx="54">
                  <c:v>216211.20000000001</c:v>
                </c:pt>
                <c:pt idx="55">
                  <c:v>112838.39999999999</c:v>
                </c:pt>
                <c:pt idx="56">
                  <c:v>1836.8</c:v>
                </c:pt>
                <c:pt idx="57">
                  <c:v>243756.79999999999</c:v>
                </c:pt>
                <c:pt idx="58">
                  <c:v>27180.799999999999</c:v>
                </c:pt>
                <c:pt idx="59">
                  <c:v>27129.599999999999</c:v>
                </c:pt>
                <c:pt idx="60">
                  <c:v>60768</c:v>
                </c:pt>
                <c:pt idx="61">
                  <c:v>147654.39999999999</c:v>
                </c:pt>
                <c:pt idx="62">
                  <c:v>77971.199999999997</c:v>
                </c:pt>
                <c:pt idx="63">
                  <c:v>216364.79999999999</c:v>
                </c:pt>
                <c:pt idx="64">
                  <c:v>215033.60000000001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DD-4A8E-82BD-1F7412AB58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35840"/>
        <c:axId val="411134592"/>
      </c:scatterChart>
      <c:valAx>
        <c:axId val="411135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34592"/>
        <c:crosses val="autoZero"/>
        <c:crossBetween val="midCat"/>
      </c:valAx>
      <c:valAx>
        <c:axId val="411134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35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Duration to Recovery (Normalize)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Sheet2!$M$1</c:f>
              <c:strCache>
                <c:ptCount val="1"/>
                <c:pt idx="0">
                  <c:v>Normalize Duration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Sheet2!$M$2:$M$66</c:f>
              <c:numCache>
                <c:formatCode>General</c:formatCode>
                <c:ptCount val="65"/>
                <c:pt idx="0">
                  <c:v>119340.8</c:v>
                </c:pt>
                <c:pt idx="1">
                  <c:v>34963.199999999997</c:v>
                </c:pt>
                <c:pt idx="2">
                  <c:v>84064</c:v>
                </c:pt>
                <c:pt idx="3">
                  <c:v>180985.60000000001</c:v>
                </c:pt>
                <c:pt idx="4">
                  <c:v>129529.60000000001</c:v>
                </c:pt>
                <c:pt idx="5">
                  <c:v>182726.39999999999</c:v>
                </c:pt>
                <c:pt idx="6">
                  <c:v>238585.60000000001</c:v>
                </c:pt>
                <c:pt idx="7">
                  <c:v>53497.599999999999</c:v>
                </c:pt>
                <c:pt idx="8">
                  <c:v>229779.20000000001</c:v>
                </c:pt>
                <c:pt idx="9">
                  <c:v>182931.20000000001</c:v>
                </c:pt>
                <c:pt idx="10">
                  <c:v>1888</c:v>
                </c:pt>
                <c:pt idx="11">
                  <c:v>102649.60000000001</c:v>
                </c:pt>
                <c:pt idx="12">
                  <c:v>164345.60000000001</c:v>
                </c:pt>
                <c:pt idx="13">
                  <c:v>106540.8</c:v>
                </c:pt>
                <c:pt idx="14">
                  <c:v>120108.8</c:v>
                </c:pt>
                <c:pt idx="15">
                  <c:v>179756.79999999999</c:v>
                </c:pt>
                <c:pt idx="16">
                  <c:v>180576</c:v>
                </c:pt>
                <c:pt idx="17">
                  <c:v>187590.39999999999</c:v>
                </c:pt>
                <c:pt idx="18">
                  <c:v>171001.60000000001</c:v>
                </c:pt>
                <c:pt idx="19">
                  <c:v>44537.599999999999</c:v>
                </c:pt>
                <c:pt idx="20">
                  <c:v>144633.60000000001</c:v>
                </c:pt>
                <c:pt idx="21">
                  <c:v>94867.199999999997</c:v>
                </c:pt>
                <c:pt idx="22">
                  <c:v>222816</c:v>
                </c:pt>
                <c:pt idx="23">
                  <c:v>94304</c:v>
                </c:pt>
                <c:pt idx="24">
                  <c:v>33836.800000000003</c:v>
                </c:pt>
                <c:pt idx="25">
                  <c:v>248620.79999999999</c:v>
                </c:pt>
                <c:pt idx="26">
                  <c:v>67833.600000000006</c:v>
                </c:pt>
                <c:pt idx="27">
                  <c:v>189894.39999999999</c:v>
                </c:pt>
                <c:pt idx="28">
                  <c:v>137004.79999999999</c:v>
                </c:pt>
                <c:pt idx="29">
                  <c:v>248313.60000000001</c:v>
                </c:pt>
                <c:pt idx="30">
                  <c:v>8544</c:v>
                </c:pt>
                <c:pt idx="31">
                  <c:v>79302.399999999994</c:v>
                </c:pt>
                <c:pt idx="32">
                  <c:v>42796.800000000003</c:v>
                </c:pt>
                <c:pt idx="33">
                  <c:v>78790.399999999994</c:v>
                </c:pt>
                <c:pt idx="34">
                  <c:v>16940.8</c:v>
                </c:pt>
                <c:pt idx="35">
                  <c:v>4755.2</c:v>
                </c:pt>
                <c:pt idx="36">
                  <c:v>119699.2</c:v>
                </c:pt>
                <c:pt idx="37">
                  <c:v>187897.60000000001</c:v>
                </c:pt>
                <c:pt idx="38">
                  <c:v>60409.599999999999</c:v>
                </c:pt>
                <c:pt idx="39">
                  <c:v>52166.400000000001</c:v>
                </c:pt>
                <c:pt idx="40">
                  <c:v>68499.199999999997</c:v>
                </c:pt>
                <c:pt idx="41">
                  <c:v>120364.8</c:v>
                </c:pt>
                <c:pt idx="42">
                  <c:v>25644.799999999999</c:v>
                </c:pt>
                <c:pt idx="43">
                  <c:v>179705.60000000001</c:v>
                </c:pt>
                <c:pt idx="44">
                  <c:v>52883.199999999997</c:v>
                </c:pt>
                <c:pt idx="45">
                  <c:v>182009.60000000001</c:v>
                </c:pt>
                <c:pt idx="46">
                  <c:v>197216</c:v>
                </c:pt>
                <c:pt idx="47">
                  <c:v>51091.199999999997</c:v>
                </c:pt>
                <c:pt idx="48">
                  <c:v>230956.79999999999</c:v>
                </c:pt>
                <c:pt idx="49">
                  <c:v>164243.20000000001</c:v>
                </c:pt>
                <c:pt idx="50">
                  <c:v>67219.199999999997</c:v>
                </c:pt>
                <c:pt idx="51">
                  <c:v>230137.60000000001</c:v>
                </c:pt>
                <c:pt idx="52">
                  <c:v>63276.800000000003</c:v>
                </c:pt>
                <c:pt idx="53">
                  <c:v>94969.600000000006</c:v>
                </c:pt>
                <c:pt idx="54">
                  <c:v>67526.399999999994</c:v>
                </c:pt>
                <c:pt idx="55">
                  <c:v>34809.599999999999</c:v>
                </c:pt>
                <c:pt idx="56">
                  <c:v>3731.2</c:v>
                </c:pt>
                <c:pt idx="57">
                  <c:v>47456</c:v>
                </c:pt>
                <c:pt idx="58">
                  <c:v>103417.60000000001</c:v>
                </c:pt>
                <c:pt idx="59">
                  <c:v>52780.800000000003</c:v>
                </c:pt>
                <c:pt idx="60">
                  <c:v>42796.800000000003</c:v>
                </c:pt>
                <c:pt idx="61">
                  <c:v>9516.7999999999993</c:v>
                </c:pt>
                <c:pt idx="62">
                  <c:v>127379.2</c:v>
                </c:pt>
                <c:pt idx="63">
                  <c:v>60665.599999999999</c:v>
                </c:pt>
                <c:pt idx="64">
                  <c:v>33580.800000000003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5E-4279-AF60-DB1A82BDC5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19200"/>
        <c:axId val="411123776"/>
      </c:scatterChart>
      <c:valAx>
        <c:axId val="411119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23776"/>
        <c:crosses val="autoZero"/>
        <c:crossBetween val="midCat"/>
      </c:valAx>
      <c:valAx>
        <c:axId val="411123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19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Sheet2!$N$1</c:f>
              <c:strCache>
                <c:ptCount val="1"/>
                <c:pt idx="0">
                  <c:v>Error Serdes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Sheet2!$N$2:$N$66</c:f>
              <c:numCache>
                <c:formatCode>General</c:formatCode>
                <c:ptCount val="65"/>
                <c:pt idx="0">
                  <c:v>119</c:v>
                </c:pt>
                <c:pt idx="1">
                  <c:v>176</c:v>
                </c:pt>
                <c:pt idx="2">
                  <c:v>191</c:v>
                </c:pt>
                <c:pt idx="3">
                  <c:v>32</c:v>
                </c:pt>
                <c:pt idx="4">
                  <c:v>183</c:v>
                </c:pt>
                <c:pt idx="5">
                  <c:v>48</c:v>
                </c:pt>
                <c:pt idx="6">
                  <c:v>71</c:v>
                </c:pt>
                <c:pt idx="7">
                  <c:v>166</c:v>
                </c:pt>
                <c:pt idx="8">
                  <c:v>23</c:v>
                </c:pt>
                <c:pt idx="9">
                  <c:v>86</c:v>
                </c:pt>
                <c:pt idx="10">
                  <c:v>53</c:v>
                </c:pt>
                <c:pt idx="11">
                  <c:v>232</c:v>
                </c:pt>
                <c:pt idx="12">
                  <c:v>103</c:v>
                </c:pt>
                <c:pt idx="13">
                  <c:v>46</c:v>
                </c:pt>
                <c:pt idx="14">
                  <c:v>71</c:v>
                </c:pt>
                <c:pt idx="15">
                  <c:v>136</c:v>
                </c:pt>
                <c:pt idx="16">
                  <c:v>15</c:v>
                </c:pt>
                <c:pt idx="17">
                  <c:v>64</c:v>
                </c:pt>
                <c:pt idx="18">
                  <c:v>119</c:v>
                </c:pt>
                <c:pt idx="19">
                  <c:v>160</c:v>
                </c:pt>
                <c:pt idx="20">
                  <c:v>223</c:v>
                </c:pt>
                <c:pt idx="21">
                  <c:v>104</c:v>
                </c:pt>
                <c:pt idx="22">
                  <c:v>39</c:v>
                </c:pt>
                <c:pt idx="23">
                  <c:v>32</c:v>
                </c:pt>
                <c:pt idx="24">
                  <c:v>95</c:v>
                </c:pt>
                <c:pt idx="25">
                  <c:v>120</c:v>
                </c:pt>
                <c:pt idx="26">
                  <c:v>127</c:v>
                </c:pt>
                <c:pt idx="27">
                  <c:v>192</c:v>
                </c:pt>
                <c:pt idx="28">
                  <c:v>135</c:v>
                </c:pt>
                <c:pt idx="29">
                  <c:v>96</c:v>
                </c:pt>
                <c:pt idx="30">
                  <c:v>127</c:v>
                </c:pt>
                <c:pt idx="31">
                  <c:v>96</c:v>
                </c:pt>
                <c:pt idx="32">
                  <c:v>207</c:v>
                </c:pt>
                <c:pt idx="33">
                  <c:v>24</c:v>
                </c:pt>
                <c:pt idx="34">
                  <c:v>135</c:v>
                </c:pt>
                <c:pt idx="35">
                  <c:v>61</c:v>
                </c:pt>
                <c:pt idx="36">
                  <c:v>95</c:v>
                </c:pt>
                <c:pt idx="37">
                  <c:v>184</c:v>
                </c:pt>
                <c:pt idx="38">
                  <c:v>79</c:v>
                </c:pt>
                <c:pt idx="39">
                  <c:v>120</c:v>
                </c:pt>
                <c:pt idx="40">
                  <c:v>31</c:v>
                </c:pt>
                <c:pt idx="41">
                  <c:v>216</c:v>
                </c:pt>
                <c:pt idx="42">
                  <c:v>207</c:v>
                </c:pt>
                <c:pt idx="43">
                  <c:v>6</c:v>
                </c:pt>
                <c:pt idx="44">
                  <c:v>239</c:v>
                </c:pt>
                <c:pt idx="45">
                  <c:v>88</c:v>
                </c:pt>
                <c:pt idx="46">
                  <c:v>95</c:v>
                </c:pt>
                <c:pt idx="47">
                  <c:v>232</c:v>
                </c:pt>
                <c:pt idx="48">
                  <c:v>103</c:v>
                </c:pt>
                <c:pt idx="49">
                  <c:v>224</c:v>
                </c:pt>
                <c:pt idx="50">
                  <c:v>135</c:v>
                </c:pt>
                <c:pt idx="51">
                  <c:v>6</c:v>
                </c:pt>
                <c:pt idx="52">
                  <c:v>55</c:v>
                </c:pt>
                <c:pt idx="53">
                  <c:v>0</c:v>
                </c:pt>
                <c:pt idx="54">
                  <c:v>199</c:v>
                </c:pt>
                <c:pt idx="55">
                  <c:v>104</c:v>
                </c:pt>
                <c:pt idx="56">
                  <c:v>0</c:v>
                </c:pt>
                <c:pt idx="57">
                  <c:v>224</c:v>
                </c:pt>
                <c:pt idx="58">
                  <c:v>23</c:v>
                </c:pt>
                <c:pt idx="59">
                  <c:v>24</c:v>
                </c:pt>
                <c:pt idx="60">
                  <c:v>55</c:v>
                </c:pt>
                <c:pt idx="61">
                  <c:v>136</c:v>
                </c:pt>
                <c:pt idx="62">
                  <c:v>71</c:v>
                </c:pt>
                <c:pt idx="63">
                  <c:v>200</c:v>
                </c:pt>
                <c:pt idx="64">
                  <c:v>199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25-465C-A5D3-1E9D7C74C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571344"/>
        <c:axId val="927582160"/>
      </c:scatterChart>
      <c:valAx>
        <c:axId val="927571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582160"/>
        <c:crosses val="autoZero"/>
        <c:crossBetween val="midCat"/>
      </c:valAx>
      <c:valAx>
        <c:axId val="92758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571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Sheet2!$O$1</c:f>
              <c:strCache>
                <c:ptCount val="1"/>
                <c:pt idx="0">
                  <c:v>Error Gearbox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Sheet2!$O$2:$O$66</c:f>
              <c:numCache>
                <c:formatCode>General</c:formatCode>
                <c:ptCount val="65"/>
                <c:pt idx="0">
                  <c:v>15</c:v>
                </c:pt>
                <c:pt idx="1">
                  <c:v>22</c:v>
                </c:pt>
                <c:pt idx="2">
                  <c:v>24</c:v>
                </c:pt>
                <c:pt idx="3">
                  <c:v>4</c:v>
                </c:pt>
                <c:pt idx="4">
                  <c:v>23</c:v>
                </c:pt>
                <c:pt idx="5">
                  <c:v>6</c:v>
                </c:pt>
                <c:pt idx="6">
                  <c:v>9</c:v>
                </c:pt>
                <c:pt idx="7">
                  <c:v>21</c:v>
                </c:pt>
                <c:pt idx="8">
                  <c:v>3</c:v>
                </c:pt>
                <c:pt idx="9">
                  <c:v>11</c:v>
                </c:pt>
                <c:pt idx="10">
                  <c:v>7</c:v>
                </c:pt>
                <c:pt idx="11">
                  <c:v>29</c:v>
                </c:pt>
                <c:pt idx="12">
                  <c:v>13</c:v>
                </c:pt>
                <c:pt idx="13">
                  <c:v>6</c:v>
                </c:pt>
                <c:pt idx="14">
                  <c:v>9</c:v>
                </c:pt>
                <c:pt idx="15">
                  <c:v>17</c:v>
                </c:pt>
                <c:pt idx="16">
                  <c:v>2</c:v>
                </c:pt>
                <c:pt idx="17">
                  <c:v>8</c:v>
                </c:pt>
                <c:pt idx="18">
                  <c:v>15</c:v>
                </c:pt>
                <c:pt idx="19">
                  <c:v>20</c:v>
                </c:pt>
                <c:pt idx="20">
                  <c:v>28</c:v>
                </c:pt>
                <c:pt idx="21">
                  <c:v>13</c:v>
                </c:pt>
                <c:pt idx="22">
                  <c:v>5</c:v>
                </c:pt>
                <c:pt idx="23">
                  <c:v>4</c:v>
                </c:pt>
                <c:pt idx="24">
                  <c:v>12</c:v>
                </c:pt>
                <c:pt idx="25">
                  <c:v>15</c:v>
                </c:pt>
                <c:pt idx="26">
                  <c:v>16</c:v>
                </c:pt>
                <c:pt idx="27">
                  <c:v>24</c:v>
                </c:pt>
                <c:pt idx="28">
                  <c:v>17</c:v>
                </c:pt>
                <c:pt idx="29">
                  <c:v>12</c:v>
                </c:pt>
                <c:pt idx="30">
                  <c:v>16</c:v>
                </c:pt>
                <c:pt idx="31">
                  <c:v>12</c:v>
                </c:pt>
                <c:pt idx="32">
                  <c:v>26</c:v>
                </c:pt>
                <c:pt idx="33">
                  <c:v>3</c:v>
                </c:pt>
                <c:pt idx="34">
                  <c:v>17</c:v>
                </c:pt>
                <c:pt idx="35">
                  <c:v>7</c:v>
                </c:pt>
                <c:pt idx="36">
                  <c:v>12</c:v>
                </c:pt>
                <c:pt idx="37">
                  <c:v>23</c:v>
                </c:pt>
                <c:pt idx="38">
                  <c:v>10</c:v>
                </c:pt>
                <c:pt idx="39">
                  <c:v>15</c:v>
                </c:pt>
                <c:pt idx="40">
                  <c:v>4</c:v>
                </c:pt>
                <c:pt idx="41">
                  <c:v>27</c:v>
                </c:pt>
                <c:pt idx="42">
                  <c:v>26</c:v>
                </c:pt>
                <c:pt idx="43">
                  <c:v>1</c:v>
                </c:pt>
                <c:pt idx="44">
                  <c:v>30</c:v>
                </c:pt>
                <c:pt idx="45">
                  <c:v>11</c:v>
                </c:pt>
                <c:pt idx="46">
                  <c:v>12</c:v>
                </c:pt>
                <c:pt idx="47">
                  <c:v>29</c:v>
                </c:pt>
                <c:pt idx="48">
                  <c:v>13</c:v>
                </c:pt>
                <c:pt idx="49">
                  <c:v>28</c:v>
                </c:pt>
                <c:pt idx="50">
                  <c:v>17</c:v>
                </c:pt>
                <c:pt idx="51">
                  <c:v>1</c:v>
                </c:pt>
                <c:pt idx="52">
                  <c:v>7</c:v>
                </c:pt>
                <c:pt idx="53">
                  <c:v>0</c:v>
                </c:pt>
                <c:pt idx="54">
                  <c:v>25</c:v>
                </c:pt>
                <c:pt idx="55">
                  <c:v>13</c:v>
                </c:pt>
                <c:pt idx="56">
                  <c:v>0</c:v>
                </c:pt>
                <c:pt idx="57">
                  <c:v>28</c:v>
                </c:pt>
                <c:pt idx="58">
                  <c:v>3</c:v>
                </c:pt>
                <c:pt idx="59">
                  <c:v>3</c:v>
                </c:pt>
                <c:pt idx="60">
                  <c:v>7</c:v>
                </c:pt>
                <c:pt idx="61">
                  <c:v>17</c:v>
                </c:pt>
                <c:pt idx="62">
                  <c:v>9</c:v>
                </c:pt>
                <c:pt idx="63">
                  <c:v>25</c:v>
                </c:pt>
                <c:pt idx="64">
                  <c:v>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1D-49EF-9E7A-8CCA436FC0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547632"/>
        <c:axId val="927592976"/>
      </c:scatterChart>
      <c:valAx>
        <c:axId val="927547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592976"/>
        <c:crosses val="autoZero"/>
        <c:crossBetween val="midCat"/>
      </c:valAx>
      <c:valAx>
        <c:axId val="927592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547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Sheet2!$P$1</c:f>
              <c:strCache>
                <c:ptCount val="1"/>
                <c:pt idx="0">
                  <c:v>Normalize Serdes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Sheet2!$P$2:$P$66</c:f>
              <c:numCache>
                <c:formatCode>General</c:formatCode>
                <c:ptCount val="65"/>
                <c:pt idx="0">
                  <c:v>110</c:v>
                </c:pt>
                <c:pt idx="1">
                  <c:v>31</c:v>
                </c:pt>
                <c:pt idx="2">
                  <c:v>78</c:v>
                </c:pt>
                <c:pt idx="3">
                  <c:v>167</c:v>
                </c:pt>
                <c:pt idx="4">
                  <c:v>118</c:v>
                </c:pt>
                <c:pt idx="5">
                  <c:v>167</c:v>
                </c:pt>
                <c:pt idx="6">
                  <c:v>222</c:v>
                </c:pt>
                <c:pt idx="7">
                  <c:v>49</c:v>
                </c:pt>
                <c:pt idx="8">
                  <c:v>214</c:v>
                </c:pt>
                <c:pt idx="9">
                  <c:v>169</c:v>
                </c:pt>
                <c:pt idx="10">
                  <c:v>0</c:v>
                </c:pt>
                <c:pt idx="11">
                  <c:v>95</c:v>
                </c:pt>
                <c:pt idx="12">
                  <c:v>150</c:v>
                </c:pt>
                <c:pt idx="13">
                  <c:v>97</c:v>
                </c:pt>
                <c:pt idx="14">
                  <c:v>110</c:v>
                </c:pt>
                <c:pt idx="15">
                  <c:v>167</c:v>
                </c:pt>
                <c:pt idx="16">
                  <c:v>166</c:v>
                </c:pt>
                <c:pt idx="17">
                  <c:v>175</c:v>
                </c:pt>
                <c:pt idx="18">
                  <c:v>158</c:v>
                </c:pt>
                <c:pt idx="19">
                  <c:v>39</c:v>
                </c:pt>
                <c:pt idx="20">
                  <c:v>134</c:v>
                </c:pt>
                <c:pt idx="21">
                  <c:v>87</c:v>
                </c:pt>
                <c:pt idx="22">
                  <c:v>206</c:v>
                </c:pt>
                <c:pt idx="23">
                  <c:v>87</c:v>
                </c:pt>
                <c:pt idx="24">
                  <c:v>30</c:v>
                </c:pt>
                <c:pt idx="25">
                  <c:v>231</c:v>
                </c:pt>
                <c:pt idx="26">
                  <c:v>62</c:v>
                </c:pt>
                <c:pt idx="27">
                  <c:v>175</c:v>
                </c:pt>
                <c:pt idx="28">
                  <c:v>126</c:v>
                </c:pt>
                <c:pt idx="29">
                  <c:v>231</c:v>
                </c:pt>
                <c:pt idx="30">
                  <c:v>6</c:v>
                </c:pt>
                <c:pt idx="31">
                  <c:v>71</c:v>
                </c:pt>
                <c:pt idx="32">
                  <c:v>38</c:v>
                </c:pt>
                <c:pt idx="33">
                  <c:v>71</c:v>
                </c:pt>
                <c:pt idx="34">
                  <c:v>14</c:v>
                </c:pt>
                <c:pt idx="35">
                  <c:v>3</c:v>
                </c:pt>
                <c:pt idx="36">
                  <c:v>110</c:v>
                </c:pt>
                <c:pt idx="37">
                  <c:v>175</c:v>
                </c:pt>
                <c:pt idx="38">
                  <c:v>54</c:v>
                </c:pt>
                <c:pt idx="39">
                  <c:v>47</c:v>
                </c:pt>
                <c:pt idx="40">
                  <c:v>62</c:v>
                </c:pt>
                <c:pt idx="41">
                  <c:v>111</c:v>
                </c:pt>
                <c:pt idx="42">
                  <c:v>22</c:v>
                </c:pt>
                <c:pt idx="43">
                  <c:v>167</c:v>
                </c:pt>
                <c:pt idx="44">
                  <c:v>48</c:v>
                </c:pt>
                <c:pt idx="45">
                  <c:v>167</c:v>
                </c:pt>
                <c:pt idx="46">
                  <c:v>182</c:v>
                </c:pt>
                <c:pt idx="47">
                  <c:v>47</c:v>
                </c:pt>
                <c:pt idx="48">
                  <c:v>214</c:v>
                </c:pt>
                <c:pt idx="49">
                  <c:v>151</c:v>
                </c:pt>
                <c:pt idx="50">
                  <c:v>62</c:v>
                </c:pt>
                <c:pt idx="51">
                  <c:v>215</c:v>
                </c:pt>
                <c:pt idx="52">
                  <c:v>56</c:v>
                </c:pt>
                <c:pt idx="53">
                  <c:v>87</c:v>
                </c:pt>
                <c:pt idx="54">
                  <c:v>62</c:v>
                </c:pt>
                <c:pt idx="55">
                  <c:v>31</c:v>
                </c:pt>
                <c:pt idx="56">
                  <c:v>2</c:v>
                </c:pt>
                <c:pt idx="57">
                  <c:v>43</c:v>
                </c:pt>
                <c:pt idx="58">
                  <c:v>94</c:v>
                </c:pt>
                <c:pt idx="59">
                  <c:v>47</c:v>
                </c:pt>
                <c:pt idx="60">
                  <c:v>38</c:v>
                </c:pt>
                <c:pt idx="61">
                  <c:v>7</c:v>
                </c:pt>
                <c:pt idx="62">
                  <c:v>118</c:v>
                </c:pt>
                <c:pt idx="63">
                  <c:v>55</c:v>
                </c:pt>
                <c:pt idx="64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7A-4C92-807A-32E12FCE79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645808"/>
        <c:axId val="927646224"/>
      </c:scatterChart>
      <c:valAx>
        <c:axId val="927645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646224"/>
        <c:crosses val="autoZero"/>
        <c:crossBetween val="midCat"/>
      </c:valAx>
      <c:valAx>
        <c:axId val="927646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645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Sheet2!$Q$1</c:f>
              <c:strCache>
                <c:ptCount val="1"/>
                <c:pt idx="0">
                  <c:v>Normalize Gearbox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Sheet2!$Q$2:$Q$66</c:f>
              <c:numCache>
                <c:formatCode>General</c:formatCode>
                <c:ptCount val="65"/>
                <c:pt idx="0">
                  <c:v>14</c:v>
                </c:pt>
                <c:pt idx="1">
                  <c:v>4</c:v>
                </c:pt>
                <c:pt idx="2">
                  <c:v>10</c:v>
                </c:pt>
                <c:pt idx="3">
                  <c:v>21</c:v>
                </c:pt>
                <c:pt idx="4">
                  <c:v>15</c:v>
                </c:pt>
                <c:pt idx="5">
                  <c:v>21</c:v>
                </c:pt>
                <c:pt idx="6">
                  <c:v>28</c:v>
                </c:pt>
                <c:pt idx="7">
                  <c:v>6</c:v>
                </c:pt>
                <c:pt idx="8">
                  <c:v>27</c:v>
                </c:pt>
                <c:pt idx="9">
                  <c:v>21</c:v>
                </c:pt>
                <c:pt idx="10">
                  <c:v>0</c:v>
                </c:pt>
                <c:pt idx="11">
                  <c:v>12</c:v>
                </c:pt>
                <c:pt idx="12">
                  <c:v>19</c:v>
                </c:pt>
                <c:pt idx="13">
                  <c:v>12</c:v>
                </c:pt>
                <c:pt idx="14">
                  <c:v>14</c:v>
                </c:pt>
                <c:pt idx="15">
                  <c:v>21</c:v>
                </c:pt>
                <c:pt idx="16">
                  <c:v>21</c:v>
                </c:pt>
                <c:pt idx="17">
                  <c:v>22</c:v>
                </c:pt>
                <c:pt idx="18">
                  <c:v>20</c:v>
                </c:pt>
                <c:pt idx="19">
                  <c:v>5</c:v>
                </c:pt>
                <c:pt idx="20">
                  <c:v>17</c:v>
                </c:pt>
                <c:pt idx="21">
                  <c:v>11</c:v>
                </c:pt>
                <c:pt idx="22">
                  <c:v>26</c:v>
                </c:pt>
                <c:pt idx="23">
                  <c:v>11</c:v>
                </c:pt>
                <c:pt idx="24">
                  <c:v>4</c:v>
                </c:pt>
                <c:pt idx="25">
                  <c:v>29</c:v>
                </c:pt>
                <c:pt idx="26">
                  <c:v>8</c:v>
                </c:pt>
                <c:pt idx="27">
                  <c:v>22</c:v>
                </c:pt>
                <c:pt idx="28">
                  <c:v>16</c:v>
                </c:pt>
                <c:pt idx="29">
                  <c:v>29</c:v>
                </c:pt>
                <c:pt idx="30">
                  <c:v>1</c:v>
                </c:pt>
                <c:pt idx="31">
                  <c:v>9</c:v>
                </c:pt>
                <c:pt idx="32">
                  <c:v>5</c:v>
                </c:pt>
                <c:pt idx="33">
                  <c:v>9</c:v>
                </c:pt>
                <c:pt idx="34">
                  <c:v>2</c:v>
                </c:pt>
                <c:pt idx="35">
                  <c:v>0</c:v>
                </c:pt>
                <c:pt idx="36">
                  <c:v>14</c:v>
                </c:pt>
                <c:pt idx="37">
                  <c:v>22</c:v>
                </c:pt>
                <c:pt idx="38">
                  <c:v>7</c:v>
                </c:pt>
                <c:pt idx="39">
                  <c:v>6</c:v>
                </c:pt>
                <c:pt idx="40">
                  <c:v>8</c:v>
                </c:pt>
                <c:pt idx="41">
                  <c:v>14</c:v>
                </c:pt>
                <c:pt idx="42">
                  <c:v>3</c:v>
                </c:pt>
                <c:pt idx="43">
                  <c:v>21</c:v>
                </c:pt>
                <c:pt idx="44">
                  <c:v>6</c:v>
                </c:pt>
                <c:pt idx="45">
                  <c:v>21</c:v>
                </c:pt>
                <c:pt idx="46">
                  <c:v>23</c:v>
                </c:pt>
                <c:pt idx="47">
                  <c:v>6</c:v>
                </c:pt>
                <c:pt idx="48">
                  <c:v>27</c:v>
                </c:pt>
                <c:pt idx="49">
                  <c:v>19</c:v>
                </c:pt>
                <c:pt idx="50">
                  <c:v>8</c:v>
                </c:pt>
                <c:pt idx="51">
                  <c:v>27</c:v>
                </c:pt>
                <c:pt idx="52">
                  <c:v>7</c:v>
                </c:pt>
                <c:pt idx="53">
                  <c:v>11</c:v>
                </c:pt>
                <c:pt idx="54">
                  <c:v>8</c:v>
                </c:pt>
                <c:pt idx="55">
                  <c:v>4</c:v>
                </c:pt>
                <c:pt idx="56">
                  <c:v>0</c:v>
                </c:pt>
                <c:pt idx="57">
                  <c:v>5</c:v>
                </c:pt>
                <c:pt idx="58">
                  <c:v>12</c:v>
                </c:pt>
                <c:pt idx="59">
                  <c:v>6</c:v>
                </c:pt>
                <c:pt idx="60">
                  <c:v>5</c:v>
                </c:pt>
                <c:pt idx="61">
                  <c:v>1</c:v>
                </c:pt>
                <c:pt idx="62">
                  <c:v>15</c:v>
                </c:pt>
                <c:pt idx="63">
                  <c:v>7</c:v>
                </c:pt>
                <c:pt idx="64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6A-49CD-9B49-3242E563CA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28352"/>
        <c:axId val="411138336"/>
      </c:scatterChart>
      <c:valAx>
        <c:axId val="411128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38336"/>
        <c:crosses val="autoZero"/>
        <c:crossBetween val="midCat"/>
      </c:valAx>
      <c:valAx>
        <c:axId val="411138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28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'Original System'!$P$1</c:f>
              <c:strCache>
                <c:ptCount val="1"/>
                <c:pt idx="0">
                  <c:v>Duration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'Original System'!$O$2:$O$65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System'!$P$2:$P$65</c:f>
              <c:numCache>
                <c:formatCode>General</c:formatCode>
                <c:ptCount val="64"/>
                <c:pt idx="0">
                  <c:v>8.3903999999999996</c:v>
                </c:pt>
                <c:pt idx="1">
                  <c:v>9.4143999999999988</c:v>
                </c:pt>
                <c:pt idx="2">
                  <c:v>11.0016</c:v>
                </c:pt>
                <c:pt idx="3">
                  <c:v>9.2096</c:v>
                </c:pt>
                <c:pt idx="4">
                  <c:v>25.491199999999999</c:v>
                </c:pt>
                <c:pt idx="5">
                  <c:v>17.760000000000002</c:v>
                </c:pt>
                <c:pt idx="6">
                  <c:v>27.488</c:v>
                </c:pt>
                <c:pt idx="7">
                  <c:v>38.086400000000005</c:v>
                </c:pt>
                <c:pt idx="8">
                  <c:v>31.993599999999997</c:v>
                </c:pt>
                <c:pt idx="9">
                  <c:v>43.052800000000005</c:v>
                </c:pt>
                <c:pt idx="10">
                  <c:v>44.179199999999994</c:v>
                </c:pt>
                <c:pt idx="11">
                  <c:v>51.910400000000003</c:v>
                </c:pt>
                <c:pt idx="12">
                  <c:v>59.539199999999994</c:v>
                </c:pt>
                <c:pt idx="13">
                  <c:v>61.689599999999999</c:v>
                </c:pt>
                <c:pt idx="14">
                  <c:v>61.945599999999999</c:v>
                </c:pt>
                <c:pt idx="15">
                  <c:v>69.4208</c:v>
                </c:pt>
                <c:pt idx="16">
                  <c:v>76.947199999999995</c:v>
                </c:pt>
                <c:pt idx="17">
                  <c:v>77.356800000000007</c:v>
                </c:pt>
                <c:pt idx="18">
                  <c:v>78.278399999999991</c:v>
                </c:pt>
                <c:pt idx="19">
                  <c:v>85.497600000000006</c:v>
                </c:pt>
                <c:pt idx="20">
                  <c:v>93.89439999999999</c:v>
                </c:pt>
                <c:pt idx="21">
                  <c:v>96.966399999999993</c:v>
                </c:pt>
                <c:pt idx="22">
                  <c:v>86.419200000000004</c:v>
                </c:pt>
                <c:pt idx="23">
                  <c:v>103.92960000000001</c:v>
                </c:pt>
                <c:pt idx="24">
                  <c:v>111.5072</c:v>
                </c:pt>
                <c:pt idx="25">
                  <c:v>111.91680000000001</c:v>
                </c:pt>
                <c:pt idx="26">
                  <c:v>112.83839999999999</c:v>
                </c:pt>
                <c:pt idx="27">
                  <c:v>120.56960000000001</c:v>
                </c:pt>
                <c:pt idx="28">
                  <c:v>128.6592</c:v>
                </c:pt>
                <c:pt idx="29">
                  <c:v>128.608</c:v>
                </c:pt>
                <c:pt idx="30">
                  <c:v>129.99039999999999</c:v>
                </c:pt>
                <c:pt idx="31">
                  <c:v>139.0016</c:v>
                </c:pt>
                <c:pt idx="32">
                  <c:v>129.52960000000002</c:v>
                </c:pt>
                <c:pt idx="33">
                  <c:v>135.72479999999999</c:v>
                </c:pt>
                <c:pt idx="34">
                  <c:v>147.2448</c:v>
                </c:pt>
                <c:pt idx="35">
                  <c:v>155.43679999999998</c:v>
                </c:pt>
                <c:pt idx="36">
                  <c:v>161.9392</c:v>
                </c:pt>
                <c:pt idx="37">
                  <c:v>163.01439999999999</c:v>
                </c:pt>
                <c:pt idx="38">
                  <c:v>154.77120000000002</c:v>
                </c:pt>
                <c:pt idx="39">
                  <c:v>172.0256</c:v>
                </c:pt>
                <c:pt idx="40">
                  <c:v>180.93439999999998</c:v>
                </c:pt>
                <c:pt idx="41">
                  <c:v>171.4624</c:v>
                </c:pt>
                <c:pt idx="42">
                  <c:v>181.44639999999998</c:v>
                </c:pt>
                <c:pt idx="43">
                  <c:v>181.39520000000002</c:v>
                </c:pt>
                <c:pt idx="44">
                  <c:v>197.36960000000002</c:v>
                </c:pt>
                <c:pt idx="45">
                  <c:v>190.40639999999999</c:v>
                </c:pt>
                <c:pt idx="46">
                  <c:v>180.7296</c:v>
                </c:pt>
                <c:pt idx="47">
                  <c:v>204.7424</c:v>
                </c:pt>
                <c:pt idx="48">
                  <c:v>213.8048</c:v>
                </c:pt>
                <c:pt idx="49">
                  <c:v>216.05760000000001</c:v>
                </c:pt>
                <c:pt idx="50">
                  <c:v>217.952</c:v>
                </c:pt>
                <c:pt idx="51">
                  <c:v>215.54560000000001</c:v>
                </c:pt>
                <c:pt idx="52">
                  <c:v>212.2688</c:v>
                </c:pt>
                <c:pt idx="53">
                  <c:v>231.3152</c:v>
                </c:pt>
                <c:pt idx="54">
                  <c:v>233.46559999999999</c:v>
                </c:pt>
                <c:pt idx="55">
                  <c:v>232.6464</c:v>
                </c:pt>
                <c:pt idx="56">
                  <c:v>232.6464</c:v>
                </c:pt>
                <c:pt idx="57">
                  <c:v>249.74720000000002</c:v>
                </c:pt>
                <c:pt idx="58">
                  <c:v>240.4288</c:v>
                </c:pt>
                <c:pt idx="59">
                  <c:v>231.00800000000001</c:v>
                </c:pt>
                <c:pt idx="60">
                  <c:v>3.7311999999999999</c:v>
                </c:pt>
                <c:pt idx="61">
                  <c:v>213.39520000000002</c:v>
                </c:pt>
                <c:pt idx="62">
                  <c:v>8.3391999999999999</c:v>
                </c:pt>
                <c:pt idx="63">
                  <c:v>254.56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56-4D90-9532-35C2261853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67008"/>
        <c:axId val="941460352"/>
      </c:scatterChart>
      <c:valAx>
        <c:axId val="94146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0352"/>
        <c:crosses val="autoZero"/>
        <c:crossBetween val="midCat"/>
      </c:valAx>
      <c:valAx>
        <c:axId val="94146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7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'Original System'!$Q$1</c:f>
              <c:strCache>
                <c:ptCount val="1"/>
                <c:pt idx="0">
                  <c:v>Serdes Slips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'Original System'!$O$2:$O$65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System'!$Q$2:$Q$65</c:f>
              <c:numCache>
                <c:formatCode>General</c:formatCode>
                <c:ptCount val="64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7</c:v>
                </c:pt>
                <c:pt idx="4">
                  <c:v>22</c:v>
                </c:pt>
                <c:pt idx="5">
                  <c:v>15</c:v>
                </c:pt>
                <c:pt idx="6">
                  <c:v>24</c:v>
                </c:pt>
                <c:pt idx="7">
                  <c:v>33</c:v>
                </c:pt>
                <c:pt idx="8">
                  <c:v>28</c:v>
                </c:pt>
                <c:pt idx="9">
                  <c:v>39</c:v>
                </c:pt>
                <c:pt idx="10">
                  <c:v>40</c:v>
                </c:pt>
                <c:pt idx="11">
                  <c:v>47</c:v>
                </c:pt>
                <c:pt idx="12">
                  <c:v>54</c:v>
                </c:pt>
                <c:pt idx="13">
                  <c:v>55</c:v>
                </c:pt>
                <c:pt idx="14">
                  <c:v>56</c:v>
                </c:pt>
                <c:pt idx="15">
                  <c:v>63</c:v>
                </c:pt>
                <c:pt idx="16">
                  <c:v>70</c:v>
                </c:pt>
                <c:pt idx="17">
                  <c:v>71</c:v>
                </c:pt>
                <c:pt idx="18">
                  <c:v>72</c:v>
                </c:pt>
                <c:pt idx="19">
                  <c:v>79</c:v>
                </c:pt>
                <c:pt idx="20">
                  <c:v>86</c:v>
                </c:pt>
                <c:pt idx="21">
                  <c:v>87</c:v>
                </c:pt>
                <c:pt idx="22">
                  <c:v>80</c:v>
                </c:pt>
                <c:pt idx="23">
                  <c:v>95</c:v>
                </c:pt>
                <c:pt idx="24">
                  <c:v>102</c:v>
                </c:pt>
                <c:pt idx="25">
                  <c:v>103</c:v>
                </c:pt>
                <c:pt idx="26">
                  <c:v>104</c:v>
                </c:pt>
                <c:pt idx="27">
                  <c:v>111</c:v>
                </c:pt>
                <c:pt idx="28">
                  <c:v>118</c:v>
                </c:pt>
                <c:pt idx="29">
                  <c:v>119</c:v>
                </c:pt>
                <c:pt idx="30">
                  <c:v>120</c:v>
                </c:pt>
                <c:pt idx="31">
                  <c:v>127</c:v>
                </c:pt>
                <c:pt idx="32">
                  <c:v>120</c:v>
                </c:pt>
                <c:pt idx="33">
                  <c:v>125</c:v>
                </c:pt>
                <c:pt idx="34">
                  <c:v>136</c:v>
                </c:pt>
                <c:pt idx="35">
                  <c:v>143</c:v>
                </c:pt>
                <c:pt idx="36">
                  <c:v>150</c:v>
                </c:pt>
                <c:pt idx="37">
                  <c:v>151</c:v>
                </c:pt>
                <c:pt idx="38">
                  <c:v>144</c:v>
                </c:pt>
                <c:pt idx="39">
                  <c:v>159</c:v>
                </c:pt>
                <c:pt idx="40">
                  <c:v>166</c:v>
                </c:pt>
                <c:pt idx="41">
                  <c:v>159</c:v>
                </c:pt>
                <c:pt idx="42">
                  <c:v>168</c:v>
                </c:pt>
                <c:pt idx="43">
                  <c:v>167</c:v>
                </c:pt>
                <c:pt idx="44">
                  <c:v>182</c:v>
                </c:pt>
                <c:pt idx="45">
                  <c:v>175</c:v>
                </c:pt>
                <c:pt idx="46">
                  <c:v>168</c:v>
                </c:pt>
                <c:pt idx="47">
                  <c:v>191</c:v>
                </c:pt>
                <c:pt idx="48">
                  <c:v>198</c:v>
                </c:pt>
                <c:pt idx="49">
                  <c:v>199</c:v>
                </c:pt>
                <c:pt idx="50">
                  <c:v>200</c:v>
                </c:pt>
                <c:pt idx="51">
                  <c:v>199</c:v>
                </c:pt>
                <c:pt idx="52">
                  <c:v>198</c:v>
                </c:pt>
                <c:pt idx="53">
                  <c:v>215</c:v>
                </c:pt>
                <c:pt idx="54">
                  <c:v>216</c:v>
                </c:pt>
                <c:pt idx="55">
                  <c:v>215</c:v>
                </c:pt>
                <c:pt idx="56">
                  <c:v>214</c:v>
                </c:pt>
                <c:pt idx="57">
                  <c:v>231</c:v>
                </c:pt>
                <c:pt idx="58">
                  <c:v>224</c:v>
                </c:pt>
                <c:pt idx="59">
                  <c:v>215</c:v>
                </c:pt>
                <c:pt idx="60">
                  <c:v>2</c:v>
                </c:pt>
                <c:pt idx="61">
                  <c:v>196</c:v>
                </c:pt>
                <c:pt idx="62">
                  <c:v>6</c:v>
                </c:pt>
                <c:pt idx="63">
                  <c:v>233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A6-488A-B77E-587EAC3181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58688"/>
        <c:axId val="941472832"/>
      </c:scatterChart>
      <c:valAx>
        <c:axId val="941458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72832"/>
        <c:crosses val="autoZero"/>
        <c:crossBetween val="midCat"/>
      </c:valAx>
      <c:valAx>
        <c:axId val="941472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Serdes</a:t>
                </a:r>
                <a:r>
                  <a:rPr lang="en-US" baseline="0"/>
                  <a:t> Slips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5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'Original System'!$R$1</c:f>
              <c:strCache>
                <c:ptCount val="1"/>
                <c:pt idx="0">
                  <c:v>Gearbox Slips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'Original System'!$O$2:$O$65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System'!$R$2:$R$65</c:f>
              <c:numCache>
                <c:formatCode>General</c:formatCode>
                <c:ptCount val="6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4</c:v>
                </c:pt>
                <c:pt idx="9">
                  <c:v>5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7</c:v>
                </c:pt>
                <c:pt idx="14">
                  <c:v>7</c:v>
                </c:pt>
                <c:pt idx="15">
                  <c:v>8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10</c:v>
                </c:pt>
                <c:pt idx="20">
                  <c:v>11</c:v>
                </c:pt>
                <c:pt idx="21">
                  <c:v>11</c:v>
                </c:pt>
                <c:pt idx="22">
                  <c:v>10</c:v>
                </c:pt>
                <c:pt idx="23">
                  <c:v>12</c:v>
                </c:pt>
                <c:pt idx="24">
                  <c:v>13</c:v>
                </c:pt>
                <c:pt idx="25">
                  <c:v>13</c:v>
                </c:pt>
                <c:pt idx="26">
                  <c:v>13</c:v>
                </c:pt>
                <c:pt idx="27">
                  <c:v>14</c:v>
                </c:pt>
                <c:pt idx="28">
                  <c:v>15</c:v>
                </c:pt>
                <c:pt idx="29">
                  <c:v>15</c:v>
                </c:pt>
                <c:pt idx="30">
                  <c:v>15</c:v>
                </c:pt>
                <c:pt idx="31">
                  <c:v>16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19</c:v>
                </c:pt>
                <c:pt idx="38">
                  <c:v>18</c:v>
                </c:pt>
                <c:pt idx="39">
                  <c:v>20</c:v>
                </c:pt>
                <c:pt idx="40">
                  <c:v>21</c:v>
                </c:pt>
                <c:pt idx="41">
                  <c:v>20</c:v>
                </c:pt>
                <c:pt idx="42">
                  <c:v>21</c:v>
                </c:pt>
                <c:pt idx="43">
                  <c:v>21</c:v>
                </c:pt>
                <c:pt idx="44">
                  <c:v>23</c:v>
                </c:pt>
                <c:pt idx="45">
                  <c:v>22</c:v>
                </c:pt>
                <c:pt idx="46">
                  <c:v>21</c:v>
                </c:pt>
                <c:pt idx="47">
                  <c:v>24</c:v>
                </c:pt>
                <c:pt idx="48">
                  <c:v>25</c:v>
                </c:pt>
                <c:pt idx="49">
                  <c:v>25</c:v>
                </c:pt>
                <c:pt idx="50">
                  <c:v>25</c:v>
                </c:pt>
                <c:pt idx="51">
                  <c:v>25</c:v>
                </c:pt>
                <c:pt idx="52">
                  <c:v>25</c:v>
                </c:pt>
                <c:pt idx="53">
                  <c:v>27</c:v>
                </c:pt>
                <c:pt idx="54">
                  <c:v>27</c:v>
                </c:pt>
                <c:pt idx="55">
                  <c:v>27</c:v>
                </c:pt>
                <c:pt idx="56">
                  <c:v>27</c:v>
                </c:pt>
                <c:pt idx="57">
                  <c:v>29</c:v>
                </c:pt>
                <c:pt idx="58">
                  <c:v>28</c:v>
                </c:pt>
                <c:pt idx="59">
                  <c:v>27</c:v>
                </c:pt>
                <c:pt idx="60">
                  <c:v>0</c:v>
                </c:pt>
                <c:pt idx="61">
                  <c:v>24</c:v>
                </c:pt>
                <c:pt idx="62">
                  <c:v>1</c:v>
                </c:pt>
                <c:pt idx="63">
                  <c:v>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FB-4737-94ED-CF7D61A087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64512"/>
        <c:axId val="941472000"/>
      </c:scatterChart>
      <c:valAx>
        <c:axId val="9414645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72000"/>
        <c:crosses val="autoZero"/>
        <c:crossBetween val="midCat"/>
      </c:valAx>
      <c:valAx>
        <c:axId val="941472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Gearbox Slips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45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5"/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Slips'!$D$3:$D$67</c:f>
              <c:numCache>
                <c:formatCode>General</c:formatCode>
                <c:ptCount val="65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  <c:pt idx="6">
                  <c:v>14.124799999999999</c:v>
                </c:pt>
                <c:pt idx="7">
                  <c:v>7.4176000000000002</c:v>
                </c:pt>
                <c:pt idx="8">
                  <c:v>14.944000000000001</c:v>
                </c:pt>
                <c:pt idx="9">
                  <c:v>9.2607999999999997</c:v>
                </c:pt>
                <c:pt idx="10">
                  <c:v>10.028799999999999</c:v>
                </c:pt>
                <c:pt idx="11">
                  <c:v>11.616</c:v>
                </c:pt>
                <c:pt idx="12">
                  <c:v>12.4352</c:v>
                </c:pt>
                <c:pt idx="13">
                  <c:v>12.4864</c:v>
                </c:pt>
                <c:pt idx="14">
                  <c:v>14.073600000000001</c:v>
                </c:pt>
                <c:pt idx="15">
                  <c:v>15.1488</c:v>
                </c:pt>
                <c:pt idx="16">
                  <c:v>14.995200000000001</c:v>
                </c:pt>
                <c:pt idx="17">
                  <c:v>17.1968</c:v>
                </c:pt>
                <c:pt idx="18">
                  <c:v>17.4528</c:v>
                </c:pt>
                <c:pt idx="19">
                  <c:v>26.412800000000001</c:v>
                </c:pt>
                <c:pt idx="20">
                  <c:v>18.015999999999998</c:v>
                </c:pt>
                <c:pt idx="21">
                  <c:v>28.051200000000001</c:v>
                </c:pt>
                <c:pt idx="22">
                  <c:v>19.295999999999999</c:v>
                </c:pt>
                <c:pt idx="23">
                  <c:v>23.187200000000001</c:v>
                </c:pt>
                <c:pt idx="24">
                  <c:v>23.5456</c:v>
                </c:pt>
                <c:pt idx="25">
                  <c:v>30.918400000000002</c:v>
                </c:pt>
                <c:pt idx="26">
                  <c:v>31.84</c:v>
                </c:pt>
                <c:pt idx="27">
                  <c:v>27.027200000000001</c:v>
                </c:pt>
                <c:pt idx="28">
                  <c:v>26.1568</c:v>
                </c:pt>
                <c:pt idx="29">
                  <c:v>28.153599999999997</c:v>
                </c:pt>
                <c:pt idx="30">
                  <c:v>35.475199999999994</c:v>
                </c:pt>
                <c:pt idx="31">
                  <c:v>37.574400000000004</c:v>
                </c:pt>
                <c:pt idx="32">
                  <c:v>30.150400000000001</c:v>
                </c:pt>
                <c:pt idx="33">
                  <c:v>31.584</c:v>
                </c:pt>
                <c:pt idx="34">
                  <c:v>32.351999999999997</c:v>
                </c:pt>
                <c:pt idx="35">
                  <c:v>39.6736</c:v>
                </c:pt>
                <c:pt idx="36">
                  <c:v>32.044800000000002</c:v>
                </c:pt>
                <c:pt idx="37">
                  <c:v>43.923199999999994</c:v>
                </c:pt>
                <c:pt idx="38">
                  <c:v>43.001599999999996</c:v>
                </c:pt>
                <c:pt idx="39">
                  <c:v>36.550400000000003</c:v>
                </c:pt>
                <c:pt idx="40">
                  <c:v>46.688000000000002</c:v>
                </c:pt>
                <c:pt idx="41">
                  <c:v>47.558399999999999</c:v>
                </c:pt>
                <c:pt idx="42">
                  <c:v>40.134399999999999</c:v>
                </c:pt>
                <c:pt idx="43">
                  <c:v>39.878399999999999</c:v>
                </c:pt>
                <c:pt idx="44">
                  <c:v>49.043199999999999</c:v>
                </c:pt>
                <c:pt idx="45">
                  <c:v>42.438400000000001</c:v>
                </c:pt>
                <c:pt idx="46">
                  <c:v>50.630400000000002</c:v>
                </c:pt>
                <c:pt idx="47">
                  <c:v>45.152000000000001</c:v>
                </c:pt>
                <c:pt idx="48">
                  <c:v>58.924800000000005</c:v>
                </c:pt>
                <c:pt idx="49">
                  <c:v>45.6128</c:v>
                </c:pt>
                <c:pt idx="50">
                  <c:v>71.263999999999996</c:v>
                </c:pt>
                <c:pt idx="51">
                  <c:v>53.753599999999999</c:v>
                </c:pt>
                <c:pt idx="52">
                  <c:v>62.508800000000001</c:v>
                </c:pt>
                <c:pt idx="53">
                  <c:v>58.207999999999998</c:v>
                </c:pt>
                <c:pt idx="54">
                  <c:v>64.352000000000004</c:v>
                </c:pt>
                <c:pt idx="55">
                  <c:v>73.209600000000009</c:v>
                </c:pt>
                <c:pt idx="56">
                  <c:v>76.691199999999995</c:v>
                </c:pt>
                <c:pt idx="57">
                  <c:v>53.753599999999999</c:v>
                </c:pt>
                <c:pt idx="58">
                  <c:v>63.942399999999999</c:v>
                </c:pt>
                <c:pt idx="59">
                  <c:v>69.4208</c:v>
                </c:pt>
                <c:pt idx="60">
                  <c:v>57.388800000000003</c:v>
                </c:pt>
                <c:pt idx="61">
                  <c:v>56.7744</c:v>
                </c:pt>
                <c:pt idx="62">
                  <c:v>70.239999999999995</c:v>
                </c:pt>
                <c:pt idx="63">
                  <c:v>57.44</c:v>
                </c:pt>
                <c:pt idx="64">
                  <c:v>72.441600000000008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6E-49E5-8002-33BFC36AE384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noFill/>
                <a:round/>
              </a:ln>
              <a:effectLst/>
            </c:spPr>
          </c:marker>
          <c:xVal>
            <c:numRef>
              <c:f>'Gbox Slips'!$A$4:$A$67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System'!$P$2:$P$65</c:f>
              <c:numCache>
                <c:formatCode>General</c:formatCode>
                <c:ptCount val="64"/>
                <c:pt idx="0">
                  <c:v>8.3903999999999996</c:v>
                </c:pt>
                <c:pt idx="1">
                  <c:v>9.4143999999999988</c:v>
                </c:pt>
                <c:pt idx="2">
                  <c:v>11.0016</c:v>
                </c:pt>
                <c:pt idx="3">
                  <c:v>9.2096</c:v>
                </c:pt>
                <c:pt idx="4">
                  <c:v>25.491199999999999</c:v>
                </c:pt>
                <c:pt idx="5">
                  <c:v>17.760000000000002</c:v>
                </c:pt>
                <c:pt idx="6">
                  <c:v>27.488</c:v>
                </c:pt>
                <c:pt idx="7">
                  <c:v>38.086400000000005</c:v>
                </c:pt>
                <c:pt idx="8">
                  <c:v>31.993599999999997</c:v>
                </c:pt>
                <c:pt idx="9">
                  <c:v>43.052800000000005</c:v>
                </c:pt>
                <c:pt idx="10">
                  <c:v>44.179199999999994</c:v>
                </c:pt>
                <c:pt idx="11">
                  <c:v>51.910400000000003</c:v>
                </c:pt>
                <c:pt idx="12">
                  <c:v>59.539199999999994</c:v>
                </c:pt>
                <c:pt idx="13">
                  <c:v>61.689599999999999</c:v>
                </c:pt>
                <c:pt idx="14">
                  <c:v>61.945599999999999</c:v>
                </c:pt>
                <c:pt idx="15">
                  <c:v>69.4208</c:v>
                </c:pt>
                <c:pt idx="16">
                  <c:v>76.947199999999995</c:v>
                </c:pt>
                <c:pt idx="17">
                  <c:v>77.356800000000007</c:v>
                </c:pt>
                <c:pt idx="18">
                  <c:v>78.278399999999991</c:v>
                </c:pt>
                <c:pt idx="19">
                  <c:v>85.497600000000006</c:v>
                </c:pt>
                <c:pt idx="20">
                  <c:v>93.89439999999999</c:v>
                </c:pt>
                <c:pt idx="21">
                  <c:v>96.966399999999993</c:v>
                </c:pt>
                <c:pt idx="22">
                  <c:v>86.419200000000004</c:v>
                </c:pt>
                <c:pt idx="23">
                  <c:v>103.92960000000001</c:v>
                </c:pt>
                <c:pt idx="24">
                  <c:v>111.5072</c:v>
                </c:pt>
                <c:pt idx="25">
                  <c:v>111.91680000000001</c:v>
                </c:pt>
                <c:pt idx="26">
                  <c:v>112.83839999999999</c:v>
                </c:pt>
                <c:pt idx="27">
                  <c:v>120.56960000000001</c:v>
                </c:pt>
                <c:pt idx="28">
                  <c:v>128.6592</c:v>
                </c:pt>
                <c:pt idx="29">
                  <c:v>128.608</c:v>
                </c:pt>
                <c:pt idx="30">
                  <c:v>129.99039999999999</c:v>
                </c:pt>
                <c:pt idx="31">
                  <c:v>139.0016</c:v>
                </c:pt>
                <c:pt idx="32">
                  <c:v>129.52960000000002</c:v>
                </c:pt>
                <c:pt idx="33">
                  <c:v>135.72479999999999</c:v>
                </c:pt>
                <c:pt idx="34">
                  <c:v>147.2448</c:v>
                </c:pt>
                <c:pt idx="35">
                  <c:v>155.43679999999998</c:v>
                </c:pt>
                <c:pt idx="36">
                  <c:v>161.9392</c:v>
                </c:pt>
                <c:pt idx="37">
                  <c:v>163.01439999999999</c:v>
                </c:pt>
                <c:pt idx="38">
                  <c:v>154.77120000000002</c:v>
                </c:pt>
                <c:pt idx="39">
                  <c:v>172.0256</c:v>
                </c:pt>
                <c:pt idx="40">
                  <c:v>180.93439999999998</c:v>
                </c:pt>
                <c:pt idx="41">
                  <c:v>171.4624</c:v>
                </c:pt>
                <c:pt idx="42">
                  <c:v>181.44639999999998</c:v>
                </c:pt>
                <c:pt idx="43">
                  <c:v>181.39520000000002</c:v>
                </c:pt>
                <c:pt idx="44">
                  <c:v>197.36960000000002</c:v>
                </c:pt>
                <c:pt idx="45">
                  <c:v>190.40639999999999</c:v>
                </c:pt>
                <c:pt idx="46">
                  <c:v>180.7296</c:v>
                </c:pt>
                <c:pt idx="47">
                  <c:v>204.7424</c:v>
                </c:pt>
                <c:pt idx="48">
                  <c:v>213.8048</c:v>
                </c:pt>
                <c:pt idx="49">
                  <c:v>216.05760000000001</c:v>
                </c:pt>
                <c:pt idx="50">
                  <c:v>217.952</c:v>
                </c:pt>
                <c:pt idx="51">
                  <c:v>215.54560000000001</c:v>
                </c:pt>
                <c:pt idx="52">
                  <c:v>212.2688</c:v>
                </c:pt>
                <c:pt idx="53">
                  <c:v>231.3152</c:v>
                </c:pt>
                <c:pt idx="54">
                  <c:v>233.46559999999999</c:v>
                </c:pt>
                <c:pt idx="55">
                  <c:v>232.6464</c:v>
                </c:pt>
                <c:pt idx="56">
                  <c:v>232.6464</c:v>
                </c:pt>
                <c:pt idx="57">
                  <c:v>249.74720000000002</c:v>
                </c:pt>
                <c:pt idx="58">
                  <c:v>240.4288</c:v>
                </c:pt>
                <c:pt idx="59">
                  <c:v>231.00800000000001</c:v>
                </c:pt>
                <c:pt idx="60">
                  <c:v>3.7311999999999999</c:v>
                </c:pt>
                <c:pt idx="61">
                  <c:v>213.39520000000002</c:v>
                </c:pt>
                <c:pt idx="62">
                  <c:v>8.3391999999999999</c:v>
                </c:pt>
                <c:pt idx="63">
                  <c:v>254.56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06E-49E5-8002-33BFC36AE3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67008"/>
        <c:axId val="941460352"/>
      </c:scatterChart>
      <c:valAx>
        <c:axId val="94146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0352"/>
        <c:crosses val="autoZero"/>
        <c:crossBetween val="midCat"/>
      </c:valAx>
      <c:valAx>
        <c:axId val="94146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7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ln w="6350"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Blocks Lost During Resync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Original Scheme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'Original System'!$B$3:$B$66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System'!$G$3:$G$66</c:f>
              <c:numCache>
                <c:formatCode>General</c:formatCode>
                <c:ptCount val="64"/>
                <c:pt idx="0">
                  <c:v>159</c:v>
                </c:pt>
                <c:pt idx="1">
                  <c:v>178</c:v>
                </c:pt>
                <c:pt idx="2">
                  <c:v>208</c:v>
                </c:pt>
                <c:pt idx="3">
                  <c:v>175</c:v>
                </c:pt>
                <c:pt idx="4">
                  <c:v>483</c:v>
                </c:pt>
                <c:pt idx="5">
                  <c:v>336</c:v>
                </c:pt>
                <c:pt idx="6">
                  <c:v>520</c:v>
                </c:pt>
                <c:pt idx="7">
                  <c:v>722</c:v>
                </c:pt>
                <c:pt idx="8">
                  <c:v>606</c:v>
                </c:pt>
                <c:pt idx="9">
                  <c:v>816</c:v>
                </c:pt>
                <c:pt idx="10">
                  <c:v>836</c:v>
                </c:pt>
                <c:pt idx="11">
                  <c:v>983</c:v>
                </c:pt>
                <c:pt idx="12">
                  <c:v>1127</c:v>
                </c:pt>
                <c:pt idx="13">
                  <c:v>1168</c:v>
                </c:pt>
                <c:pt idx="14">
                  <c:v>1173</c:v>
                </c:pt>
                <c:pt idx="15">
                  <c:v>1315</c:v>
                </c:pt>
                <c:pt idx="16">
                  <c:v>1457</c:v>
                </c:pt>
                <c:pt idx="17">
                  <c:v>1465</c:v>
                </c:pt>
                <c:pt idx="18">
                  <c:v>1483</c:v>
                </c:pt>
                <c:pt idx="19">
                  <c:v>1620</c:v>
                </c:pt>
                <c:pt idx="20">
                  <c:v>1778</c:v>
                </c:pt>
                <c:pt idx="21">
                  <c:v>1836</c:v>
                </c:pt>
                <c:pt idx="22">
                  <c:v>1637</c:v>
                </c:pt>
                <c:pt idx="23">
                  <c:v>1968</c:v>
                </c:pt>
                <c:pt idx="24">
                  <c:v>2112</c:v>
                </c:pt>
                <c:pt idx="25">
                  <c:v>2120</c:v>
                </c:pt>
                <c:pt idx="26">
                  <c:v>2137</c:v>
                </c:pt>
                <c:pt idx="27">
                  <c:v>2284</c:v>
                </c:pt>
                <c:pt idx="28">
                  <c:v>2437</c:v>
                </c:pt>
                <c:pt idx="29">
                  <c:v>2436</c:v>
                </c:pt>
                <c:pt idx="30">
                  <c:v>2462</c:v>
                </c:pt>
                <c:pt idx="31">
                  <c:v>2632</c:v>
                </c:pt>
                <c:pt idx="32">
                  <c:v>2453</c:v>
                </c:pt>
                <c:pt idx="33">
                  <c:v>2570</c:v>
                </c:pt>
                <c:pt idx="34">
                  <c:v>2789</c:v>
                </c:pt>
                <c:pt idx="35">
                  <c:v>2943</c:v>
                </c:pt>
                <c:pt idx="36">
                  <c:v>3067</c:v>
                </c:pt>
                <c:pt idx="37">
                  <c:v>3087</c:v>
                </c:pt>
                <c:pt idx="38">
                  <c:v>2931</c:v>
                </c:pt>
                <c:pt idx="39">
                  <c:v>3258</c:v>
                </c:pt>
                <c:pt idx="40">
                  <c:v>3427</c:v>
                </c:pt>
                <c:pt idx="41">
                  <c:v>3248</c:v>
                </c:pt>
                <c:pt idx="42">
                  <c:v>3436</c:v>
                </c:pt>
                <c:pt idx="43">
                  <c:v>3435</c:v>
                </c:pt>
                <c:pt idx="44">
                  <c:v>3738</c:v>
                </c:pt>
                <c:pt idx="45">
                  <c:v>3606</c:v>
                </c:pt>
                <c:pt idx="46">
                  <c:v>3423</c:v>
                </c:pt>
                <c:pt idx="47">
                  <c:v>3878</c:v>
                </c:pt>
                <c:pt idx="48">
                  <c:v>4049</c:v>
                </c:pt>
                <c:pt idx="49">
                  <c:v>4092</c:v>
                </c:pt>
                <c:pt idx="50">
                  <c:v>4128</c:v>
                </c:pt>
                <c:pt idx="51">
                  <c:v>4082</c:v>
                </c:pt>
                <c:pt idx="52">
                  <c:v>4020</c:v>
                </c:pt>
                <c:pt idx="53">
                  <c:v>4381</c:v>
                </c:pt>
                <c:pt idx="54">
                  <c:v>4422</c:v>
                </c:pt>
                <c:pt idx="55">
                  <c:v>4406</c:v>
                </c:pt>
                <c:pt idx="56">
                  <c:v>4406</c:v>
                </c:pt>
                <c:pt idx="57">
                  <c:v>4730</c:v>
                </c:pt>
                <c:pt idx="58">
                  <c:v>4554</c:v>
                </c:pt>
                <c:pt idx="59">
                  <c:v>4375</c:v>
                </c:pt>
                <c:pt idx="60">
                  <c:v>71</c:v>
                </c:pt>
                <c:pt idx="61">
                  <c:v>4041</c:v>
                </c:pt>
                <c:pt idx="62">
                  <c:v>157</c:v>
                </c:pt>
                <c:pt idx="63">
                  <c:v>4821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A6DA-435F-9D01-C93E462E148F}"/>
            </c:ext>
          </c:extLst>
        </c:ser>
        <c:ser>
          <c:idx val="2"/>
          <c:order val="1"/>
          <c:tx>
            <c:v>Resource Free Improvement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Slips'!$F$3:$F$67</c:f>
              <c:numCache>
                <c:formatCode>General</c:formatCode>
                <c:ptCount val="65"/>
                <c:pt idx="0">
                  <c:v>0</c:v>
                </c:pt>
                <c:pt idx="1">
                  <c:v>34</c:v>
                </c:pt>
                <c:pt idx="2">
                  <c:v>52</c:v>
                </c:pt>
                <c:pt idx="3">
                  <c:v>74</c:v>
                </c:pt>
                <c:pt idx="4">
                  <c:v>72</c:v>
                </c:pt>
                <c:pt idx="5">
                  <c:v>109</c:v>
                </c:pt>
                <c:pt idx="6">
                  <c:v>268</c:v>
                </c:pt>
                <c:pt idx="7">
                  <c:v>140</c:v>
                </c:pt>
                <c:pt idx="8">
                  <c:v>283</c:v>
                </c:pt>
                <c:pt idx="9">
                  <c:v>175</c:v>
                </c:pt>
                <c:pt idx="10">
                  <c:v>190</c:v>
                </c:pt>
                <c:pt idx="11">
                  <c:v>220</c:v>
                </c:pt>
                <c:pt idx="12">
                  <c:v>236</c:v>
                </c:pt>
                <c:pt idx="13">
                  <c:v>237</c:v>
                </c:pt>
                <c:pt idx="14">
                  <c:v>266</c:v>
                </c:pt>
                <c:pt idx="15">
                  <c:v>287</c:v>
                </c:pt>
                <c:pt idx="16">
                  <c:v>284</c:v>
                </c:pt>
                <c:pt idx="17">
                  <c:v>325</c:v>
                </c:pt>
                <c:pt idx="18">
                  <c:v>330</c:v>
                </c:pt>
                <c:pt idx="19">
                  <c:v>500</c:v>
                </c:pt>
                <c:pt idx="20">
                  <c:v>342</c:v>
                </c:pt>
                <c:pt idx="21">
                  <c:v>531</c:v>
                </c:pt>
                <c:pt idx="22">
                  <c:v>365</c:v>
                </c:pt>
                <c:pt idx="23">
                  <c:v>439</c:v>
                </c:pt>
                <c:pt idx="24">
                  <c:v>446</c:v>
                </c:pt>
                <c:pt idx="25">
                  <c:v>585</c:v>
                </c:pt>
                <c:pt idx="26">
                  <c:v>603</c:v>
                </c:pt>
                <c:pt idx="27">
                  <c:v>511</c:v>
                </c:pt>
                <c:pt idx="28">
                  <c:v>495</c:v>
                </c:pt>
                <c:pt idx="29">
                  <c:v>533</c:v>
                </c:pt>
                <c:pt idx="30">
                  <c:v>672</c:v>
                </c:pt>
                <c:pt idx="31">
                  <c:v>712</c:v>
                </c:pt>
                <c:pt idx="32">
                  <c:v>571</c:v>
                </c:pt>
                <c:pt idx="33">
                  <c:v>598</c:v>
                </c:pt>
                <c:pt idx="34">
                  <c:v>613</c:v>
                </c:pt>
                <c:pt idx="35">
                  <c:v>752</c:v>
                </c:pt>
                <c:pt idx="36">
                  <c:v>607</c:v>
                </c:pt>
                <c:pt idx="37">
                  <c:v>832</c:v>
                </c:pt>
                <c:pt idx="38">
                  <c:v>814</c:v>
                </c:pt>
                <c:pt idx="39">
                  <c:v>692</c:v>
                </c:pt>
                <c:pt idx="40">
                  <c:v>884</c:v>
                </c:pt>
                <c:pt idx="41">
                  <c:v>901</c:v>
                </c:pt>
                <c:pt idx="42">
                  <c:v>761</c:v>
                </c:pt>
                <c:pt idx="43">
                  <c:v>756</c:v>
                </c:pt>
                <c:pt idx="44">
                  <c:v>929</c:v>
                </c:pt>
                <c:pt idx="45">
                  <c:v>804</c:v>
                </c:pt>
                <c:pt idx="46">
                  <c:v>959</c:v>
                </c:pt>
                <c:pt idx="47">
                  <c:v>855</c:v>
                </c:pt>
                <c:pt idx="48">
                  <c:v>1116</c:v>
                </c:pt>
                <c:pt idx="49">
                  <c:v>864</c:v>
                </c:pt>
                <c:pt idx="50">
                  <c:v>1350</c:v>
                </c:pt>
                <c:pt idx="51">
                  <c:v>1018</c:v>
                </c:pt>
                <c:pt idx="52">
                  <c:v>1184</c:v>
                </c:pt>
                <c:pt idx="53">
                  <c:v>1102</c:v>
                </c:pt>
                <c:pt idx="54">
                  <c:v>1219</c:v>
                </c:pt>
                <c:pt idx="55">
                  <c:v>1386</c:v>
                </c:pt>
                <c:pt idx="56">
                  <c:v>1453</c:v>
                </c:pt>
                <c:pt idx="57">
                  <c:v>1018</c:v>
                </c:pt>
                <c:pt idx="58">
                  <c:v>1211</c:v>
                </c:pt>
                <c:pt idx="59">
                  <c:v>1315</c:v>
                </c:pt>
                <c:pt idx="60">
                  <c:v>1087</c:v>
                </c:pt>
                <c:pt idx="61">
                  <c:v>1075</c:v>
                </c:pt>
                <c:pt idx="62">
                  <c:v>1331</c:v>
                </c:pt>
                <c:pt idx="63">
                  <c:v>1088</c:v>
                </c:pt>
                <c:pt idx="64">
                  <c:v>1372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A6DA-435F-9D01-C93E462E148F}"/>
            </c:ext>
          </c:extLst>
        </c:ser>
        <c:ser>
          <c:idx val="0"/>
          <c:order val="2"/>
          <c:tx>
            <c:v>Fully Parallel Search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'Fully Parallel'!$H$3:$H$66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'Fully Parallel'!$M$3:$M$66</c:f>
              <c:numCache>
                <c:formatCode>General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33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35</c:v>
                </c:pt>
                <c:pt idx="7">
                  <c:v>35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34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35</c:v>
                </c:pt>
                <c:pt idx="27">
                  <c:v>33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34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34</c:v>
                </c:pt>
                <c:pt idx="46">
                  <c:v>0</c:v>
                </c:pt>
                <c:pt idx="47">
                  <c:v>34</c:v>
                </c:pt>
                <c:pt idx="48">
                  <c:v>35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34</c:v>
                </c:pt>
                <c:pt idx="53">
                  <c:v>34</c:v>
                </c:pt>
                <c:pt idx="54">
                  <c:v>0</c:v>
                </c:pt>
                <c:pt idx="55">
                  <c:v>0</c:v>
                </c:pt>
                <c:pt idx="56">
                  <c:v>66</c:v>
                </c:pt>
                <c:pt idx="57">
                  <c:v>34</c:v>
                </c:pt>
                <c:pt idx="58">
                  <c:v>0</c:v>
                </c:pt>
                <c:pt idx="59">
                  <c:v>0</c:v>
                </c:pt>
                <c:pt idx="60">
                  <c:v>34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A6DA-435F-9D01-C93E462E14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9470495"/>
        <c:axId val="2099460927"/>
      </c:scatterChart>
      <c:valAx>
        <c:axId val="2099470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60927"/>
        <c:crosses val="autoZero"/>
        <c:crossBetween val="midCat"/>
      </c:valAx>
      <c:valAx>
        <c:axId val="2099460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</a:t>
                </a:r>
                <a:r>
                  <a:rPr lang="en-US" baseline="0"/>
                  <a:t> of 66b Blocks Lost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704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Blocks Lost During Resync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Original Scheme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'Original System'!$B$3:$B$66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System'!$G$3:$G$66</c:f>
              <c:numCache>
                <c:formatCode>General</c:formatCode>
                <c:ptCount val="64"/>
                <c:pt idx="0">
                  <c:v>159</c:v>
                </c:pt>
                <c:pt idx="1">
                  <c:v>178</c:v>
                </c:pt>
                <c:pt idx="2">
                  <c:v>208</c:v>
                </c:pt>
                <c:pt idx="3">
                  <c:v>175</c:v>
                </c:pt>
                <c:pt idx="4">
                  <c:v>483</c:v>
                </c:pt>
                <c:pt idx="5">
                  <c:v>336</c:v>
                </c:pt>
                <c:pt idx="6">
                  <c:v>520</c:v>
                </c:pt>
                <c:pt idx="7">
                  <c:v>722</c:v>
                </c:pt>
                <c:pt idx="8">
                  <c:v>606</c:v>
                </c:pt>
                <c:pt idx="9">
                  <c:v>816</c:v>
                </c:pt>
                <c:pt idx="10">
                  <c:v>836</c:v>
                </c:pt>
                <c:pt idx="11">
                  <c:v>983</c:v>
                </c:pt>
                <c:pt idx="12">
                  <c:v>1127</c:v>
                </c:pt>
                <c:pt idx="13">
                  <c:v>1168</c:v>
                </c:pt>
                <c:pt idx="14">
                  <c:v>1173</c:v>
                </c:pt>
                <c:pt idx="15">
                  <c:v>1315</c:v>
                </c:pt>
                <c:pt idx="16">
                  <c:v>1457</c:v>
                </c:pt>
                <c:pt idx="17">
                  <c:v>1465</c:v>
                </c:pt>
                <c:pt idx="18">
                  <c:v>1483</c:v>
                </c:pt>
                <c:pt idx="19">
                  <c:v>1620</c:v>
                </c:pt>
                <c:pt idx="20">
                  <c:v>1778</c:v>
                </c:pt>
                <c:pt idx="21">
                  <c:v>1836</c:v>
                </c:pt>
                <c:pt idx="22">
                  <c:v>1637</c:v>
                </c:pt>
                <c:pt idx="23">
                  <c:v>1968</c:v>
                </c:pt>
                <c:pt idx="24">
                  <c:v>2112</c:v>
                </c:pt>
                <c:pt idx="25">
                  <c:v>2120</c:v>
                </c:pt>
                <c:pt idx="26">
                  <c:v>2137</c:v>
                </c:pt>
                <c:pt idx="27">
                  <c:v>2284</c:v>
                </c:pt>
                <c:pt idx="28">
                  <c:v>2437</c:v>
                </c:pt>
                <c:pt idx="29">
                  <c:v>2436</c:v>
                </c:pt>
                <c:pt idx="30">
                  <c:v>2462</c:v>
                </c:pt>
                <c:pt idx="31">
                  <c:v>2632</c:v>
                </c:pt>
                <c:pt idx="32">
                  <c:v>2453</c:v>
                </c:pt>
                <c:pt idx="33">
                  <c:v>2570</c:v>
                </c:pt>
                <c:pt idx="34">
                  <c:v>2789</c:v>
                </c:pt>
                <c:pt idx="35">
                  <c:v>2943</c:v>
                </c:pt>
                <c:pt idx="36">
                  <c:v>3067</c:v>
                </c:pt>
                <c:pt idx="37">
                  <c:v>3087</c:v>
                </c:pt>
                <c:pt idx="38">
                  <c:v>2931</c:v>
                </c:pt>
                <c:pt idx="39">
                  <c:v>3258</c:v>
                </c:pt>
                <c:pt idx="40">
                  <c:v>3427</c:v>
                </c:pt>
                <c:pt idx="41">
                  <c:v>3248</c:v>
                </c:pt>
                <c:pt idx="42">
                  <c:v>3436</c:v>
                </c:pt>
                <c:pt idx="43">
                  <c:v>3435</c:v>
                </c:pt>
                <c:pt idx="44">
                  <c:v>3738</c:v>
                </c:pt>
                <c:pt idx="45">
                  <c:v>3606</c:v>
                </c:pt>
                <c:pt idx="46">
                  <c:v>3423</c:v>
                </c:pt>
                <c:pt idx="47">
                  <c:v>3878</c:v>
                </c:pt>
                <c:pt idx="48">
                  <c:v>4049</c:v>
                </c:pt>
                <c:pt idx="49">
                  <c:v>4092</c:v>
                </c:pt>
                <c:pt idx="50">
                  <c:v>4128</c:v>
                </c:pt>
                <c:pt idx="51">
                  <c:v>4082</c:v>
                </c:pt>
                <c:pt idx="52">
                  <c:v>4020</c:v>
                </c:pt>
                <c:pt idx="53">
                  <c:v>4381</c:v>
                </c:pt>
                <c:pt idx="54">
                  <c:v>4422</c:v>
                </c:pt>
                <c:pt idx="55">
                  <c:v>4406</c:v>
                </c:pt>
                <c:pt idx="56">
                  <c:v>4406</c:v>
                </c:pt>
                <c:pt idx="57">
                  <c:v>4730</c:v>
                </c:pt>
                <c:pt idx="58">
                  <c:v>4554</c:v>
                </c:pt>
                <c:pt idx="59">
                  <c:v>4375</c:v>
                </c:pt>
                <c:pt idx="60">
                  <c:v>71</c:v>
                </c:pt>
                <c:pt idx="61">
                  <c:v>4041</c:v>
                </c:pt>
                <c:pt idx="62">
                  <c:v>157</c:v>
                </c:pt>
                <c:pt idx="63">
                  <c:v>4821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09-414C-A503-D6726AA4E39B}"/>
            </c:ext>
          </c:extLst>
        </c:ser>
        <c:ser>
          <c:idx val="2"/>
          <c:order val="1"/>
          <c:tx>
            <c:v>Resource Free Improvement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Slips'!$F$3:$F$67</c:f>
              <c:numCache>
                <c:formatCode>General</c:formatCode>
                <c:ptCount val="65"/>
                <c:pt idx="0">
                  <c:v>0</c:v>
                </c:pt>
                <c:pt idx="1">
                  <c:v>34</c:v>
                </c:pt>
                <c:pt idx="2">
                  <c:v>52</c:v>
                </c:pt>
                <c:pt idx="3">
                  <c:v>74</c:v>
                </c:pt>
                <c:pt idx="4">
                  <c:v>72</c:v>
                </c:pt>
                <c:pt idx="5">
                  <c:v>109</c:v>
                </c:pt>
                <c:pt idx="6">
                  <c:v>268</c:v>
                </c:pt>
                <c:pt idx="7">
                  <c:v>140</c:v>
                </c:pt>
                <c:pt idx="8">
                  <c:v>283</c:v>
                </c:pt>
                <c:pt idx="9">
                  <c:v>175</c:v>
                </c:pt>
                <c:pt idx="10">
                  <c:v>190</c:v>
                </c:pt>
                <c:pt idx="11">
                  <c:v>220</c:v>
                </c:pt>
                <c:pt idx="12">
                  <c:v>236</c:v>
                </c:pt>
                <c:pt idx="13">
                  <c:v>237</c:v>
                </c:pt>
                <c:pt idx="14">
                  <c:v>266</c:v>
                </c:pt>
                <c:pt idx="15">
                  <c:v>287</c:v>
                </c:pt>
                <c:pt idx="16">
                  <c:v>284</c:v>
                </c:pt>
                <c:pt idx="17">
                  <c:v>325</c:v>
                </c:pt>
                <c:pt idx="18">
                  <c:v>330</c:v>
                </c:pt>
                <c:pt idx="19">
                  <c:v>500</c:v>
                </c:pt>
                <c:pt idx="20">
                  <c:v>342</c:v>
                </c:pt>
                <c:pt idx="21">
                  <c:v>531</c:v>
                </c:pt>
                <c:pt idx="22">
                  <c:v>365</c:v>
                </c:pt>
                <c:pt idx="23">
                  <c:v>439</c:v>
                </c:pt>
                <c:pt idx="24">
                  <c:v>446</c:v>
                </c:pt>
                <c:pt idx="25">
                  <c:v>585</c:v>
                </c:pt>
                <c:pt idx="26">
                  <c:v>603</c:v>
                </c:pt>
                <c:pt idx="27">
                  <c:v>511</c:v>
                </c:pt>
                <c:pt idx="28">
                  <c:v>495</c:v>
                </c:pt>
                <c:pt idx="29">
                  <c:v>533</c:v>
                </c:pt>
                <c:pt idx="30">
                  <c:v>672</c:v>
                </c:pt>
                <c:pt idx="31">
                  <c:v>712</c:v>
                </c:pt>
                <c:pt idx="32">
                  <c:v>571</c:v>
                </c:pt>
                <c:pt idx="33">
                  <c:v>598</c:v>
                </c:pt>
                <c:pt idx="34">
                  <c:v>613</c:v>
                </c:pt>
                <c:pt idx="35">
                  <c:v>752</c:v>
                </c:pt>
                <c:pt idx="36">
                  <c:v>607</c:v>
                </c:pt>
                <c:pt idx="37">
                  <c:v>832</c:v>
                </c:pt>
                <c:pt idx="38">
                  <c:v>814</c:v>
                </c:pt>
                <c:pt idx="39">
                  <c:v>692</c:v>
                </c:pt>
                <c:pt idx="40">
                  <c:v>884</c:v>
                </c:pt>
                <c:pt idx="41">
                  <c:v>901</c:v>
                </c:pt>
                <c:pt idx="42">
                  <c:v>761</c:v>
                </c:pt>
                <c:pt idx="43">
                  <c:v>756</c:v>
                </c:pt>
                <c:pt idx="44">
                  <c:v>929</c:v>
                </c:pt>
                <c:pt idx="45">
                  <c:v>804</c:v>
                </c:pt>
                <c:pt idx="46">
                  <c:v>959</c:v>
                </c:pt>
                <c:pt idx="47">
                  <c:v>855</c:v>
                </c:pt>
                <c:pt idx="48">
                  <c:v>1116</c:v>
                </c:pt>
                <c:pt idx="49">
                  <c:v>864</c:v>
                </c:pt>
                <c:pt idx="50">
                  <c:v>1350</c:v>
                </c:pt>
                <c:pt idx="51">
                  <c:v>1018</c:v>
                </c:pt>
                <c:pt idx="52">
                  <c:v>1184</c:v>
                </c:pt>
                <c:pt idx="53">
                  <c:v>1102</c:v>
                </c:pt>
                <c:pt idx="54">
                  <c:v>1219</c:v>
                </c:pt>
                <c:pt idx="55">
                  <c:v>1386</c:v>
                </c:pt>
                <c:pt idx="56">
                  <c:v>1453</c:v>
                </c:pt>
                <c:pt idx="57">
                  <c:v>1018</c:v>
                </c:pt>
                <c:pt idx="58">
                  <c:v>1211</c:v>
                </c:pt>
                <c:pt idx="59">
                  <c:v>1315</c:v>
                </c:pt>
                <c:pt idx="60">
                  <c:v>1087</c:v>
                </c:pt>
                <c:pt idx="61">
                  <c:v>1075</c:v>
                </c:pt>
                <c:pt idx="62">
                  <c:v>1331</c:v>
                </c:pt>
                <c:pt idx="63">
                  <c:v>1088</c:v>
                </c:pt>
                <c:pt idx="64">
                  <c:v>1372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D09-414C-A503-D6726AA4E3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9470495"/>
        <c:axId val="2099460927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2"/>
                <c:tx>
                  <c:v>Fully Parallel Search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gradFill rotWithShape="1">
                      <a:gsLst>
                        <a:gs pos="0">
                          <a:schemeClr val="accent1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1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1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 w="9525">
                      <a:solidFill>
                        <a:schemeClr val="accent1"/>
                      </a:solidFill>
                      <a:round/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'Fully Parallel'!$H$3:$H$66</c15:sqref>
                        </c15:formulaRef>
                      </c:ext>
                    </c:extLst>
                    <c:numCache>
                      <c:formatCode>General</c:formatCode>
                      <c:ptCount val="64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'Fully Parallel'!$M$3:$M$66</c15:sqref>
                        </c15:formulaRef>
                      </c:ext>
                    </c:extLst>
                    <c:numCache>
                      <c:formatCode>General</c:formatCode>
                      <c:ptCount val="64"/>
                      <c:pt idx="0">
                        <c:v>0</c:v>
                      </c:pt>
                      <c:pt idx="1">
                        <c:v>0</c:v>
                      </c:pt>
                      <c:pt idx="2">
                        <c:v>33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35</c:v>
                      </c:pt>
                      <c:pt idx="7">
                        <c:v>35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34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35</c:v>
                      </c:pt>
                      <c:pt idx="27">
                        <c:v>33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34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34</c:v>
                      </c:pt>
                      <c:pt idx="46">
                        <c:v>0</c:v>
                      </c:pt>
                      <c:pt idx="47">
                        <c:v>34</c:v>
                      </c:pt>
                      <c:pt idx="48">
                        <c:v>35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34</c:v>
                      </c:pt>
                      <c:pt idx="53">
                        <c:v>34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66</c:v>
                      </c:pt>
                      <c:pt idx="57">
                        <c:v>34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34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8D09-414C-A503-D6726AA4E39B}"/>
                  </c:ext>
                </c:extLst>
              </c15:ser>
            </c15:filteredScatterSeries>
          </c:ext>
        </c:extLst>
      </c:scatterChart>
      <c:valAx>
        <c:axId val="2099470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60927"/>
        <c:crosses val="autoZero"/>
        <c:crossBetween val="midCat"/>
      </c:valAx>
      <c:valAx>
        <c:axId val="2099460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</a:t>
                </a:r>
                <a:r>
                  <a:rPr lang="en-US" baseline="0"/>
                  <a:t> of 66b Blocks Lost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704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Blocks Lost During Resync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Original Scheme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'Original System'!$B$3:$B$66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System'!$G$3:$G$66</c:f>
              <c:numCache>
                <c:formatCode>General</c:formatCode>
                <c:ptCount val="64"/>
                <c:pt idx="0">
                  <c:v>159</c:v>
                </c:pt>
                <c:pt idx="1">
                  <c:v>178</c:v>
                </c:pt>
                <c:pt idx="2">
                  <c:v>208</c:v>
                </c:pt>
                <c:pt idx="3">
                  <c:v>175</c:v>
                </c:pt>
                <c:pt idx="4">
                  <c:v>483</c:v>
                </c:pt>
                <c:pt idx="5">
                  <c:v>336</c:v>
                </c:pt>
                <c:pt idx="6">
                  <c:v>520</c:v>
                </c:pt>
                <c:pt idx="7">
                  <c:v>722</c:v>
                </c:pt>
                <c:pt idx="8">
                  <c:v>606</c:v>
                </c:pt>
                <c:pt idx="9">
                  <c:v>816</c:v>
                </c:pt>
                <c:pt idx="10">
                  <c:v>836</c:v>
                </c:pt>
                <c:pt idx="11">
                  <c:v>983</c:v>
                </c:pt>
                <c:pt idx="12">
                  <c:v>1127</c:v>
                </c:pt>
                <c:pt idx="13">
                  <c:v>1168</c:v>
                </c:pt>
                <c:pt idx="14">
                  <c:v>1173</c:v>
                </c:pt>
                <c:pt idx="15">
                  <c:v>1315</c:v>
                </c:pt>
                <c:pt idx="16">
                  <c:v>1457</c:v>
                </c:pt>
                <c:pt idx="17">
                  <c:v>1465</c:v>
                </c:pt>
                <c:pt idx="18">
                  <c:v>1483</c:v>
                </c:pt>
                <c:pt idx="19">
                  <c:v>1620</c:v>
                </c:pt>
                <c:pt idx="20">
                  <c:v>1778</c:v>
                </c:pt>
                <c:pt idx="21">
                  <c:v>1836</c:v>
                </c:pt>
                <c:pt idx="22">
                  <c:v>1637</c:v>
                </c:pt>
                <c:pt idx="23">
                  <c:v>1968</c:v>
                </c:pt>
                <c:pt idx="24">
                  <c:v>2112</c:v>
                </c:pt>
                <c:pt idx="25">
                  <c:v>2120</c:v>
                </c:pt>
                <c:pt idx="26">
                  <c:v>2137</c:v>
                </c:pt>
                <c:pt idx="27">
                  <c:v>2284</c:v>
                </c:pt>
                <c:pt idx="28">
                  <c:v>2437</c:v>
                </c:pt>
                <c:pt idx="29">
                  <c:v>2436</c:v>
                </c:pt>
                <c:pt idx="30">
                  <c:v>2462</c:v>
                </c:pt>
                <c:pt idx="31">
                  <c:v>2632</c:v>
                </c:pt>
                <c:pt idx="32">
                  <c:v>2453</c:v>
                </c:pt>
                <c:pt idx="33">
                  <c:v>2570</c:v>
                </c:pt>
                <c:pt idx="34">
                  <c:v>2789</c:v>
                </c:pt>
                <c:pt idx="35">
                  <c:v>2943</c:v>
                </c:pt>
                <c:pt idx="36">
                  <c:v>3067</c:v>
                </c:pt>
                <c:pt idx="37">
                  <c:v>3087</c:v>
                </c:pt>
                <c:pt idx="38">
                  <c:v>2931</c:v>
                </c:pt>
                <c:pt idx="39">
                  <c:v>3258</c:v>
                </c:pt>
                <c:pt idx="40">
                  <c:v>3427</c:v>
                </c:pt>
                <c:pt idx="41">
                  <c:v>3248</c:v>
                </c:pt>
                <c:pt idx="42">
                  <c:v>3436</c:v>
                </c:pt>
                <c:pt idx="43">
                  <c:v>3435</c:v>
                </c:pt>
                <c:pt idx="44">
                  <c:v>3738</c:v>
                </c:pt>
                <c:pt idx="45">
                  <c:v>3606</c:v>
                </c:pt>
                <c:pt idx="46">
                  <c:v>3423</c:v>
                </c:pt>
                <c:pt idx="47">
                  <c:v>3878</c:v>
                </c:pt>
                <c:pt idx="48">
                  <c:v>4049</c:v>
                </c:pt>
                <c:pt idx="49">
                  <c:v>4092</c:v>
                </c:pt>
                <c:pt idx="50">
                  <c:v>4128</c:v>
                </c:pt>
                <c:pt idx="51">
                  <c:v>4082</c:v>
                </c:pt>
                <c:pt idx="52">
                  <c:v>4020</c:v>
                </c:pt>
                <c:pt idx="53">
                  <c:v>4381</c:v>
                </c:pt>
                <c:pt idx="54">
                  <c:v>4422</c:v>
                </c:pt>
                <c:pt idx="55">
                  <c:v>4406</c:v>
                </c:pt>
                <c:pt idx="56">
                  <c:v>4406</c:v>
                </c:pt>
                <c:pt idx="57">
                  <c:v>4730</c:v>
                </c:pt>
                <c:pt idx="58">
                  <c:v>4554</c:v>
                </c:pt>
                <c:pt idx="59">
                  <c:v>4375</c:v>
                </c:pt>
                <c:pt idx="60">
                  <c:v>71</c:v>
                </c:pt>
                <c:pt idx="61">
                  <c:v>4041</c:v>
                </c:pt>
                <c:pt idx="62">
                  <c:v>157</c:v>
                </c:pt>
                <c:pt idx="63">
                  <c:v>4821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4C-4BBF-A130-9054746DBD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9470495"/>
        <c:axId val="2099460927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1"/>
                <c:tx>
                  <c:v>Resource Free Improvement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gradFill rotWithShape="1">
                      <a:gsLst>
                        <a:gs pos="0">
                          <a:schemeClr val="accent3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3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3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 w="9525">
                      <a:solidFill>
                        <a:schemeClr val="accent3"/>
                      </a:solidFill>
                      <a:round/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'Gbox Slips'!$A$3:$A$67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'Gbox Slips'!$F$3:$F$67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0</c:v>
                      </c:pt>
                      <c:pt idx="1">
                        <c:v>34</c:v>
                      </c:pt>
                      <c:pt idx="2">
                        <c:v>52</c:v>
                      </c:pt>
                      <c:pt idx="3">
                        <c:v>74</c:v>
                      </c:pt>
                      <c:pt idx="4">
                        <c:v>72</c:v>
                      </c:pt>
                      <c:pt idx="5">
                        <c:v>109</c:v>
                      </c:pt>
                      <c:pt idx="6">
                        <c:v>268</c:v>
                      </c:pt>
                      <c:pt idx="7">
                        <c:v>140</c:v>
                      </c:pt>
                      <c:pt idx="8">
                        <c:v>283</c:v>
                      </c:pt>
                      <c:pt idx="9">
                        <c:v>175</c:v>
                      </c:pt>
                      <c:pt idx="10">
                        <c:v>190</c:v>
                      </c:pt>
                      <c:pt idx="11">
                        <c:v>220</c:v>
                      </c:pt>
                      <c:pt idx="12">
                        <c:v>236</c:v>
                      </c:pt>
                      <c:pt idx="13">
                        <c:v>237</c:v>
                      </c:pt>
                      <c:pt idx="14">
                        <c:v>266</c:v>
                      </c:pt>
                      <c:pt idx="15">
                        <c:v>287</c:v>
                      </c:pt>
                      <c:pt idx="16">
                        <c:v>284</c:v>
                      </c:pt>
                      <c:pt idx="17">
                        <c:v>325</c:v>
                      </c:pt>
                      <c:pt idx="18">
                        <c:v>330</c:v>
                      </c:pt>
                      <c:pt idx="19">
                        <c:v>500</c:v>
                      </c:pt>
                      <c:pt idx="20">
                        <c:v>342</c:v>
                      </c:pt>
                      <c:pt idx="21">
                        <c:v>531</c:v>
                      </c:pt>
                      <c:pt idx="22">
                        <c:v>365</c:v>
                      </c:pt>
                      <c:pt idx="23">
                        <c:v>439</c:v>
                      </c:pt>
                      <c:pt idx="24">
                        <c:v>446</c:v>
                      </c:pt>
                      <c:pt idx="25">
                        <c:v>585</c:v>
                      </c:pt>
                      <c:pt idx="26">
                        <c:v>603</c:v>
                      </c:pt>
                      <c:pt idx="27">
                        <c:v>511</c:v>
                      </c:pt>
                      <c:pt idx="28">
                        <c:v>495</c:v>
                      </c:pt>
                      <c:pt idx="29">
                        <c:v>533</c:v>
                      </c:pt>
                      <c:pt idx="30">
                        <c:v>672</c:v>
                      </c:pt>
                      <c:pt idx="31">
                        <c:v>712</c:v>
                      </c:pt>
                      <c:pt idx="32">
                        <c:v>571</c:v>
                      </c:pt>
                      <c:pt idx="33">
                        <c:v>598</c:v>
                      </c:pt>
                      <c:pt idx="34">
                        <c:v>613</c:v>
                      </c:pt>
                      <c:pt idx="35">
                        <c:v>752</c:v>
                      </c:pt>
                      <c:pt idx="36">
                        <c:v>607</c:v>
                      </c:pt>
                      <c:pt idx="37">
                        <c:v>832</c:v>
                      </c:pt>
                      <c:pt idx="38">
                        <c:v>814</c:v>
                      </c:pt>
                      <c:pt idx="39">
                        <c:v>692</c:v>
                      </c:pt>
                      <c:pt idx="40">
                        <c:v>884</c:v>
                      </c:pt>
                      <c:pt idx="41">
                        <c:v>901</c:v>
                      </c:pt>
                      <c:pt idx="42">
                        <c:v>761</c:v>
                      </c:pt>
                      <c:pt idx="43">
                        <c:v>756</c:v>
                      </c:pt>
                      <c:pt idx="44">
                        <c:v>929</c:v>
                      </c:pt>
                      <c:pt idx="45">
                        <c:v>804</c:v>
                      </c:pt>
                      <c:pt idx="46">
                        <c:v>959</c:v>
                      </c:pt>
                      <c:pt idx="47">
                        <c:v>855</c:v>
                      </c:pt>
                      <c:pt idx="48">
                        <c:v>1116</c:v>
                      </c:pt>
                      <c:pt idx="49">
                        <c:v>864</c:v>
                      </c:pt>
                      <c:pt idx="50">
                        <c:v>1350</c:v>
                      </c:pt>
                      <c:pt idx="51">
                        <c:v>1018</c:v>
                      </c:pt>
                      <c:pt idx="52">
                        <c:v>1184</c:v>
                      </c:pt>
                      <c:pt idx="53">
                        <c:v>1102</c:v>
                      </c:pt>
                      <c:pt idx="54">
                        <c:v>1219</c:v>
                      </c:pt>
                      <c:pt idx="55">
                        <c:v>1386</c:v>
                      </c:pt>
                      <c:pt idx="56">
                        <c:v>1453</c:v>
                      </c:pt>
                      <c:pt idx="57">
                        <c:v>1018</c:v>
                      </c:pt>
                      <c:pt idx="58">
                        <c:v>1211</c:v>
                      </c:pt>
                      <c:pt idx="59">
                        <c:v>1315</c:v>
                      </c:pt>
                      <c:pt idx="60">
                        <c:v>1087</c:v>
                      </c:pt>
                      <c:pt idx="61">
                        <c:v>1075</c:v>
                      </c:pt>
                      <c:pt idx="62">
                        <c:v>1331</c:v>
                      </c:pt>
                      <c:pt idx="63">
                        <c:v>1088</c:v>
                      </c:pt>
                      <c:pt idx="64">
                        <c:v>1372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184C-4BBF-A130-9054746DBD2A}"/>
                  </c:ext>
                </c:extLst>
              </c15:ser>
            </c15:filteredScatterSeries>
            <c15:filteredScatterSeries>
              <c15:ser>
                <c:idx val="0"/>
                <c:order val="2"/>
                <c:tx>
                  <c:v>Fully Parallel Search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gradFill rotWithShape="1">
                      <a:gsLst>
                        <a:gs pos="0">
                          <a:schemeClr val="accent1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1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1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 w="9525">
                      <a:solidFill>
                        <a:schemeClr val="accent1"/>
                      </a:solidFill>
                      <a:round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'Fully Parallel'!$H$3:$H$66</c15:sqref>
                        </c15:formulaRef>
                      </c:ext>
                    </c:extLst>
                    <c:numCache>
                      <c:formatCode>General</c:formatCode>
                      <c:ptCount val="64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'Fully Parallel'!$M$3:$M$66</c15:sqref>
                        </c15:formulaRef>
                      </c:ext>
                    </c:extLst>
                    <c:numCache>
                      <c:formatCode>General</c:formatCode>
                      <c:ptCount val="64"/>
                      <c:pt idx="0">
                        <c:v>0</c:v>
                      </c:pt>
                      <c:pt idx="1">
                        <c:v>0</c:v>
                      </c:pt>
                      <c:pt idx="2">
                        <c:v>33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35</c:v>
                      </c:pt>
                      <c:pt idx="7">
                        <c:v>35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34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35</c:v>
                      </c:pt>
                      <c:pt idx="27">
                        <c:v>33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34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34</c:v>
                      </c:pt>
                      <c:pt idx="46">
                        <c:v>0</c:v>
                      </c:pt>
                      <c:pt idx="47">
                        <c:v>34</c:v>
                      </c:pt>
                      <c:pt idx="48">
                        <c:v>35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34</c:v>
                      </c:pt>
                      <c:pt idx="53">
                        <c:v>34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66</c:v>
                      </c:pt>
                      <c:pt idx="57">
                        <c:v>34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34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184C-4BBF-A130-9054746DBD2A}"/>
                  </c:ext>
                </c:extLst>
              </c15:ser>
            </c15:filteredScatterSeries>
          </c:ext>
        </c:extLst>
      </c:scatterChart>
      <c:valAx>
        <c:axId val="2099470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60927"/>
        <c:crosses val="autoZero"/>
        <c:crossBetween val="midCat"/>
      </c:valAx>
      <c:valAx>
        <c:axId val="2099460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</a:t>
                </a:r>
                <a:r>
                  <a:rPr lang="en-US" baseline="0"/>
                  <a:t> of 66b Blocks Lost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704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"Free Improvments"</c:v>
          </c:tx>
          <c:spPr>
            <a:ln w="19050">
              <a:noFill/>
            </a:ln>
          </c:spPr>
          <c:marker>
            <c:symbol val="circle"/>
            <c:size val="5"/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Slips'!$D$3:$D$67</c:f>
              <c:numCache>
                <c:formatCode>General</c:formatCode>
                <c:ptCount val="65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  <c:pt idx="6">
                  <c:v>14.124799999999999</c:v>
                </c:pt>
                <c:pt idx="7">
                  <c:v>7.4176000000000002</c:v>
                </c:pt>
                <c:pt idx="8">
                  <c:v>14.944000000000001</c:v>
                </c:pt>
                <c:pt idx="9">
                  <c:v>9.2607999999999997</c:v>
                </c:pt>
                <c:pt idx="10">
                  <c:v>10.028799999999999</c:v>
                </c:pt>
                <c:pt idx="11">
                  <c:v>11.616</c:v>
                </c:pt>
                <c:pt idx="12">
                  <c:v>12.4352</c:v>
                </c:pt>
                <c:pt idx="13">
                  <c:v>12.4864</c:v>
                </c:pt>
                <c:pt idx="14">
                  <c:v>14.073600000000001</c:v>
                </c:pt>
                <c:pt idx="15">
                  <c:v>15.1488</c:v>
                </c:pt>
                <c:pt idx="16">
                  <c:v>14.995200000000001</c:v>
                </c:pt>
                <c:pt idx="17">
                  <c:v>17.1968</c:v>
                </c:pt>
                <c:pt idx="18">
                  <c:v>17.4528</c:v>
                </c:pt>
                <c:pt idx="19">
                  <c:v>26.412800000000001</c:v>
                </c:pt>
                <c:pt idx="20">
                  <c:v>18.015999999999998</c:v>
                </c:pt>
                <c:pt idx="21">
                  <c:v>28.051200000000001</c:v>
                </c:pt>
                <c:pt idx="22">
                  <c:v>19.295999999999999</c:v>
                </c:pt>
                <c:pt idx="23">
                  <c:v>23.187200000000001</c:v>
                </c:pt>
                <c:pt idx="24">
                  <c:v>23.5456</c:v>
                </c:pt>
                <c:pt idx="25">
                  <c:v>30.918400000000002</c:v>
                </c:pt>
                <c:pt idx="26">
                  <c:v>31.84</c:v>
                </c:pt>
                <c:pt idx="27">
                  <c:v>27.027200000000001</c:v>
                </c:pt>
                <c:pt idx="28">
                  <c:v>26.1568</c:v>
                </c:pt>
                <c:pt idx="29">
                  <c:v>28.153599999999997</c:v>
                </c:pt>
                <c:pt idx="30">
                  <c:v>35.475199999999994</c:v>
                </c:pt>
                <c:pt idx="31">
                  <c:v>37.574400000000004</c:v>
                </c:pt>
                <c:pt idx="32">
                  <c:v>30.150400000000001</c:v>
                </c:pt>
                <c:pt idx="33">
                  <c:v>31.584</c:v>
                </c:pt>
                <c:pt idx="34">
                  <c:v>32.351999999999997</c:v>
                </c:pt>
                <c:pt idx="35">
                  <c:v>39.6736</c:v>
                </c:pt>
                <c:pt idx="36">
                  <c:v>32.044800000000002</c:v>
                </c:pt>
                <c:pt idx="37">
                  <c:v>43.923199999999994</c:v>
                </c:pt>
                <c:pt idx="38">
                  <c:v>43.001599999999996</c:v>
                </c:pt>
                <c:pt idx="39">
                  <c:v>36.550400000000003</c:v>
                </c:pt>
                <c:pt idx="40">
                  <c:v>46.688000000000002</c:v>
                </c:pt>
                <c:pt idx="41">
                  <c:v>47.558399999999999</c:v>
                </c:pt>
                <c:pt idx="42">
                  <c:v>40.134399999999999</c:v>
                </c:pt>
                <c:pt idx="43">
                  <c:v>39.878399999999999</c:v>
                </c:pt>
                <c:pt idx="44">
                  <c:v>49.043199999999999</c:v>
                </c:pt>
                <c:pt idx="45">
                  <c:v>42.438400000000001</c:v>
                </c:pt>
                <c:pt idx="46">
                  <c:v>50.630400000000002</c:v>
                </c:pt>
                <c:pt idx="47">
                  <c:v>45.152000000000001</c:v>
                </c:pt>
                <c:pt idx="48">
                  <c:v>58.924800000000005</c:v>
                </c:pt>
                <c:pt idx="49">
                  <c:v>45.6128</c:v>
                </c:pt>
                <c:pt idx="50">
                  <c:v>71.263999999999996</c:v>
                </c:pt>
                <c:pt idx="51">
                  <c:v>53.753599999999999</c:v>
                </c:pt>
                <c:pt idx="52">
                  <c:v>62.508800000000001</c:v>
                </c:pt>
                <c:pt idx="53">
                  <c:v>58.207999999999998</c:v>
                </c:pt>
                <c:pt idx="54">
                  <c:v>64.352000000000004</c:v>
                </c:pt>
                <c:pt idx="55">
                  <c:v>73.209600000000009</c:v>
                </c:pt>
                <c:pt idx="56">
                  <c:v>76.691199999999995</c:v>
                </c:pt>
                <c:pt idx="57">
                  <c:v>53.753599999999999</c:v>
                </c:pt>
                <c:pt idx="58">
                  <c:v>63.942399999999999</c:v>
                </c:pt>
                <c:pt idx="59">
                  <c:v>69.4208</c:v>
                </c:pt>
                <c:pt idx="60">
                  <c:v>57.388800000000003</c:v>
                </c:pt>
                <c:pt idx="61">
                  <c:v>56.7744</c:v>
                </c:pt>
                <c:pt idx="62">
                  <c:v>70.239999999999995</c:v>
                </c:pt>
                <c:pt idx="63">
                  <c:v>57.44</c:v>
                </c:pt>
                <c:pt idx="64">
                  <c:v>72.441600000000008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79F-4FA9-AFB6-F40934BA3D5E}"/>
            </c:ext>
          </c:extLst>
        </c:ser>
        <c:ser>
          <c:idx val="1"/>
          <c:order val="1"/>
          <c:tx>
            <c:v>"Original System"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noFill/>
                <a:round/>
              </a:ln>
              <a:effectLst/>
            </c:spPr>
          </c:marker>
          <c:xVal>
            <c:numRef>
              <c:f>'Gbox Slips'!$A$4:$A$67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System'!$P$2:$P$65</c:f>
              <c:numCache>
                <c:formatCode>General</c:formatCode>
                <c:ptCount val="64"/>
                <c:pt idx="0">
                  <c:v>8.3903999999999996</c:v>
                </c:pt>
                <c:pt idx="1">
                  <c:v>9.4143999999999988</c:v>
                </c:pt>
                <c:pt idx="2">
                  <c:v>11.0016</c:v>
                </c:pt>
                <c:pt idx="3">
                  <c:v>9.2096</c:v>
                </c:pt>
                <c:pt idx="4">
                  <c:v>25.491199999999999</c:v>
                </c:pt>
                <c:pt idx="5">
                  <c:v>17.760000000000002</c:v>
                </c:pt>
                <c:pt idx="6">
                  <c:v>27.488</c:v>
                </c:pt>
                <c:pt idx="7">
                  <c:v>38.086400000000005</c:v>
                </c:pt>
                <c:pt idx="8">
                  <c:v>31.993599999999997</c:v>
                </c:pt>
                <c:pt idx="9">
                  <c:v>43.052800000000005</c:v>
                </c:pt>
                <c:pt idx="10">
                  <c:v>44.179199999999994</c:v>
                </c:pt>
                <c:pt idx="11">
                  <c:v>51.910400000000003</c:v>
                </c:pt>
                <c:pt idx="12">
                  <c:v>59.539199999999994</c:v>
                </c:pt>
                <c:pt idx="13">
                  <c:v>61.689599999999999</c:v>
                </c:pt>
                <c:pt idx="14">
                  <c:v>61.945599999999999</c:v>
                </c:pt>
                <c:pt idx="15">
                  <c:v>69.4208</c:v>
                </c:pt>
                <c:pt idx="16">
                  <c:v>76.947199999999995</c:v>
                </c:pt>
                <c:pt idx="17">
                  <c:v>77.356800000000007</c:v>
                </c:pt>
                <c:pt idx="18">
                  <c:v>78.278399999999991</c:v>
                </c:pt>
                <c:pt idx="19">
                  <c:v>85.497600000000006</c:v>
                </c:pt>
                <c:pt idx="20">
                  <c:v>93.89439999999999</c:v>
                </c:pt>
                <c:pt idx="21">
                  <c:v>96.966399999999993</c:v>
                </c:pt>
                <c:pt idx="22">
                  <c:v>86.419200000000004</c:v>
                </c:pt>
                <c:pt idx="23">
                  <c:v>103.92960000000001</c:v>
                </c:pt>
                <c:pt idx="24">
                  <c:v>111.5072</c:v>
                </c:pt>
                <c:pt idx="25">
                  <c:v>111.91680000000001</c:v>
                </c:pt>
                <c:pt idx="26">
                  <c:v>112.83839999999999</c:v>
                </c:pt>
                <c:pt idx="27">
                  <c:v>120.56960000000001</c:v>
                </c:pt>
                <c:pt idx="28">
                  <c:v>128.6592</c:v>
                </c:pt>
                <c:pt idx="29">
                  <c:v>128.608</c:v>
                </c:pt>
                <c:pt idx="30">
                  <c:v>129.99039999999999</c:v>
                </c:pt>
                <c:pt idx="31">
                  <c:v>139.0016</c:v>
                </c:pt>
                <c:pt idx="32">
                  <c:v>129.52960000000002</c:v>
                </c:pt>
                <c:pt idx="33">
                  <c:v>135.72479999999999</c:v>
                </c:pt>
                <c:pt idx="34">
                  <c:v>147.2448</c:v>
                </c:pt>
                <c:pt idx="35">
                  <c:v>155.43679999999998</c:v>
                </c:pt>
                <c:pt idx="36">
                  <c:v>161.9392</c:v>
                </c:pt>
                <c:pt idx="37">
                  <c:v>163.01439999999999</c:v>
                </c:pt>
                <c:pt idx="38">
                  <c:v>154.77120000000002</c:v>
                </c:pt>
                <c:pt idx="39">
                  <c:v>172.0256</c:v>
                </c:pt>
                <c:pt idx="40">
                  <c:v>180.93439999999998</c:v>
                </c:pt>
                <c:pt idx="41">
                  <c:v>171.4624</c:v>
                </c:pt>
                <c:pt idx="42">
                  <c:v>181.44639999999998</c:v>
                </c:pt>
                <c:pt idx="43">
                  <c:v>181.39520000000002</c:v>
                </c:pt>
                <c:pt idx="44">
                  <c:v>197.36960000000002</c:v>
                </c:pt>
                <c:pt idx="45">
                  <c:v>190.40639999999999</c:v>
                </c:pt>
                <c:pt idx="46">
                  <c:v>180.7296</c:v>
                </c:pt>
                <c:pt idx="47">
                  <c:v>204.7424</c:v>
                </c:pt>
                <c:pt idx="48">
                  <c:v>213.8048</c:v>
                </c:pt>
                <c:pt idx="49">
                  <c:v>216.05760000000001</c:v>
                </c:pt>
                <c:pt idx="50">
                  <c:v>217.952</c:v>
                </c:pt>
                <c:pt idx="51">
                  <c:v>215.54560000000001</c:v>
                </c:pt>
                <c:pt idx="52">
                  <c:v>212.2688</c:v>
                </c:pt>
                <c:pt idx="53">
                  <c:v>231.3152</c:v>
                </c:pt>
                <c:pt idx="54">
                  <c:v>233.46559999999999</c:v>
                </c:pt>
                <c:pt idx="55">
                  <c:v>232.6464</c:v>
                </c:pt>
                <c:pt idx="56">
                  <c:v>232.6464</c:v>
                </c:pt>
                <c:pt idx="57">
                  <c:v>249.74720000000002</c:v>
                </c:pt>
                <c:pt idx="58">
                  <c:v>240.4288</c:v>
                </c:pt>
                <c:pt idx="59">
                  <c:v>231.00800000000001</c:v>
                </c:pt>
                <c:pt idx="60">
                  <c:v>3.7311999999999999</c:v>
                </c:pt>
                <c:pt idx="61">
                  <c:v>213.39520000000002</c:v>
                </c:pt>
                <c:pt idx="62">
                  <c:v>8.3391999999999999</c:v>
                </c:pt>
                <c:pt idx="63">
                  <c:v>254.56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79F-4FA9-AFB6-F40934BA3D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67008"/>
        <c:axId val="941460352"/>
      </c:scatterChart>
      <c:valAx>
        <c:axId val="94146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0352"/>
        <c:crosses val="autoZero"/>
        <c:crossBetween val="midCat"/>
      </c:valAx>
      <c:valAx>
        <c:axId val="94146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7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</c:legend>
    <c:plotVisOnly val="1"/>
    <c:dispBlanksAs val="gap"/>
    <c:showDLblsOverMax val="0"/>
    <c:extLst/>
  </c:chart>
  <c:spPr>
    <a:ln w="6350"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Slips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Slips'!$E$3:$E$67</c:f>
              <c:numCache>
                <c:formatCode>General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4</c:v>
                </c:pt>
                <c:pt idx="6">
                  <c:v>13</c:v>
                </c:pt>
                <c:pt idx="7">
                  <c:v>6</c:v>
                </c:pt>
                <c:pt idx="8">
                  <c:v>14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11</c:v>
                </c:pt>
                <c:pt idx="14">
                  <c:v>13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16</c:v>
                </c:pt>
                <c:pt idx="19">
                  <c:v>26</c:v>
                </c:pt>
                <c:pt idx="20">
                  <c:v>17</c:v>
                </c:pt>
                <c:pt idx="21">
                  <c:v>28</c:v>
                </c:pt>
                <c:pt idx="22">
                  <c:v>19</c:v>
                </c:pt>
                <c:pt idx="23">
                  <c:v>22</c:v>
                </c:pt>
                <c:pt idx="24">
                  <c:v>23</c:v>
                </c:pt>
                <c:pt idx="25">
                  <c:v>31</c:v>
                </c:pt>
                <c:pt idx="26">
                  <c:v>31</c:v>
                </c:pt>
                <c:pt idx="27">
                  <c:v>26</c:v>
                </c:pt>
                <c:pt idx="28">
                  <c:v>26</c:v>
                </c:pt>
                <c:pt idx="29">
                  <c:v>28</c:v>
                </c:pt>
                <c:pt idx="30">
                  <c:v>36</c:v>
                </c:pt>
                <c:pt idx="31">
                  <c:v>37</c:v>
                </c:pt>
                <c:pt idx="32">
                  <c:v>30</c:v>
                </c:pt>
                <c:pt idx="33">
                  <c:v>31</c:v>
                </c:pt>
                <c:pt idx="34">
                  <c:v>33</c:v>
                </c:pt>
                <c:pt idx="35">
                  <c:v>40</c:v>
                </c:pt>
                <c:pt idx="36">
                  <c:v>32</c:v>
                </c:pt>
                <c:pt idx="37">
                  <c:v>44</c:v>
                </c:pt>
                <c:pt idx="38">
                  <c:v>44</c:v>
                </c:pt>
                <c:pt idx="39">
                  <c:v>37</c:v>
                </c:pt>
                <c:pt idx="40">
                  <c:v>47</c:v>
                </c:pt>
                <c:pt idx="41">
                  <c:v>48</c:v>
                </c:pt>
                <c:pt idx="42">
                  <c:v>40</c:v>
                </c:pt>
                <c:pt idx="43">
                  <c:v>40</c:v>
                </c:pt>
                <c:pt idx="44">
                  <c:v>51</c:v>
                </c:pt>
                <c:pt idx="45">
                  <c:v>42</c:v>
                </c:pt>
                <c:pt idx="46">
                  <c:v>51</c:v>
                </c:pt>
                <c:pt idx="47">
                  <c:v>45</c:v>
                </c:pt>
                <c:pt idx="48">
                  <c:v>61</c:v>
                </c:pt>
                <c:pt idx="49">
                  <c:v>45</c:v>
                </c:pt>
                <c:pt idx="50">
                  <c:v>72</c:v>
                </c:pt>
                <c:pt idx="51">
                  <c:v>55</c:v>
                </c:pt>
                <c:pt idx="52">
                  <c:v>64</c:v>
                </c:pt>
                <c:pt idx="53">
                  <c:v>60</c:v>
                </c:pt>
                <c:pt idx="54">
                  <c:v>66</c:v>
                </c:pt>
                <c:pt idx="55">
                  <c:v>75</c:v>
                </c:pt>
                <c:pt idx="56">
                  <c:v>79</c:v>
                </c:pt>
                <c:pt idx="57">
                  <c:v>55</c:v>
                </c:pt>
                <c:pt idx="58">
                  <c:v>64</c:v>
                </c:pt>
                <c:pt idx="59">
                  <c:v>71</c:v>
                </c:pt>
                <c:pt idx="60">
                  <c:v>59</c:v>
                </c:pt>
                <c:pt idx="61">
                  <c:v>58</c:v>
                </c:pt>
                <c:pt idx="62">
                  <c:v>73</c:v>
                </c:pt>
                <c:pt idx="63">
                  <c:v>59</c:v>
                </c:pt>
                <c:pt idx="64">
                  <c:v>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C8-47E6-B5AC-1622D25F0177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'Original System'!$S$2:$S$65</c:f>
              <c:numCache>
                <c:formatCode>General</c:formatCode>
                <c:ptCount val="64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8</c:v>
                </c:pt>
                <c:pt idx="4">
                  <c:v>25</c:v>
                </c:pt>
                <c:pt idx="5">
                  <c:v>17</c:v>
                </c:pt>
                <c:pt idx="6">
                  <c:v>27</c:v>
                </c:pt>
                <c:pt idx="7">
                  <c:v>37</c:v>
                </c:pt>
                <c:pt idx="8">
                  <c:v>32</c:v>
                </c:pt>
                <c:pt idx="9">
                  <c:v>44</c:v>
                </c:pt>
                <c:pt idx="10">
                  <c:v>45</c:v>
                </c:pt>
                <c:pt idx="11">
                  <c:v>53</c:v>
                </c:pt>
                <c:pt idx="12">
                  <c:v>61</c:v>
                </c:pt>
                <c:pt idx="13">
                  <c:v>62</c:v>
                </c:pt>
                <c:pt idx="14">
                  <c:v>63</c:v>
                </c:pt>
                <c:pt idx="15">
                  <c:v>71</c:v>
                </c:pt>
                <c:pt idx="16">
                  <c:v>79</c:v>
                </c:pt>
                <c:pt idx="17">
                  <c:v>80</c:v>
                </c:pt>
                <c:pt idx="18">
                  <c:v>81</c:v>
                </c:pt>
                <c:pt idx="19">
                  <c:v>89</c:v>
                </c:pt>
                <c:pt idx="20">
                  <c:v>97</c:v>
                </c:pt>
                <c:pt idx="21">
                  <c:v>98</c:v>
                </c:pt>
                <c:pt idx="22">
                  <c:v>90</c:v>
                </c:pt>
                <c:pt idx="23">
                  <c:v>107</c:v>
                </c:pt>
                <c:pt idx="24">
                  <c:v>115</c:v>
                </c:pt>
                <c:pt idx="25">
                  <c:v>116</c:v>
                </c:pt>
                <c:pt idx="26">
                  <c:v>117</c:v>
                </c:pt>
                <c:pt idx="27">
                  <c:v>125</c:v>
                </c:pt>
                <c:pt idx="28">
                  <c:v>133</c:v>
                </c:pt>
                <c:pt idx="29">
                  <c:v>134</c:v>
                </c:pt>
                <c:pt idx="30">
                  <c:v>135</c:v>
                </c:pt>
                <c:pt idx="31">
                  <c:v>143</c:v>
                </c:pt>
                <c:pt idx="32">
                  <c:v>135</c:v>
                </c:pt>
                <c:pt idx="33">
                  <c:v>141</c:v>
                </c:pt>
                <c:pt idx="34">
                  <c:v>153</c:v>
                </c:pt>
                <c:pt idx="35">
                  <c:v>161</c:v>
                </c:pt>
                <c:pt idx="36">
                  <c:v>169</c:v>
                </c:pt>
                <c:pt idx="37">
                  <c:v>170</c:v>
                </c:pt>
                <c:pt idx="38">
                  <c:v>162</c:v>
                </c:pt>
                <c:pt idx="39">
                  <c:v>179</c:v>
                </c:pt>
                <c:pt idx="40">
                  <c:v>187</c:v>
                </c:pt>
                <c:pt idx="41">
                  <c:v>179</c:v>
                </c:pt>
                <c:pt idx="42">
                  <c:v>189</c:v>
                </c:pt>
                <c:pt idx="43">
                  <c:v>188</c:v>
                </c:pt>
                <c:pt idx="44">
                  <c:v>205</c:v>
                </c:pt>
                <c:pt idx="45">
                  <c:v>197</c:v>
                </c:pt>
                <c:pt idx="46">
                  <c:v>189</c:v>
                </c:pt>
                <c:pt idx="47">
                  <c:v>215</c:v>
                </c:pt>
                <c:pt idx="48">
                  <c:v>223</c:v>
                </c:pt>
                <c:pt idx="49">
                  <c:v>224</c:v>
                </c:pt>
                <c:pt idx="50">
                  <c:v>225</c:v>
                </c:pt>
                <c:pt idx="51">
                  <c:v>224</c:v>
                </c:pt>
                <c:pt idx="52">
                  <c:v>223</c:v>
                </c:pt>
                <c:pt idx="53">
                  <c:v>242</c:v>
                </c:pt>
                <c:pt idx="54">
                  <c:v>243</c:v>
                </c:pt>
                <c:pt idx="55">
                  <c:v>242</c:v>
                </c:pt>
                <c:pt idx="56">
                  <c:v>241</c:v>
                </c:pt>
                <c:pt idx="57">
                  <c:v>260</c:v>
                </c:pt>
                <c:pt idx="58">
                  <c:v>252</c:v>
                </c:pt>
                <c:pt idx="59">
                  <c:v>242</c:v>
                </c:pt>
                <c:pt idx="60">
                  <c:v>2</c:v>
                </c:pt>
                <c:pt idx="61">
                  <c:v>220</c:v>
                </c:pt>
                <c:pt idx="62">
                  <c:v>7</c:v>
                </c:pt>
                <c:pt idx="63">
                  <c:v>262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FC8-47E6-B5AC-1622D25F01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9096288"/>
        <c:axId val="1609083392"/>
      </c:scatterChart>
      <c:valAx>
        <c:axId val="1609096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</a:t>
                </a:r>
                <a:r>
                  <a:rPr lang="en-US" baseline="0"/>
                  <a:t> Removed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083392"/>
        <c:crosses val="autoZero"/>
        <c:crossBetween val="midCat"/>
      </c:valAx>
      <c:valAx>
        <c:axId val="1609083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Slips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096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Blocks Lost During Resync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Slips'!$F$3:$F$67</c:f>
              <c:numCache>
                <c:formatCode>General</c:formatCode>
                <c:ptCount val="65"/>
                <c:pt idx="0">
                  <c:v>0</c:v>
                </c:pt>
                <c:pt idx="1">
                  <c:v>34</c:v>
                </c:pt>
                <c:pt idx="2">
                  <c:v>52</c:v>
                </c:pt>
                <c:pt idx="3">
                  <c:v>74</c:v>
                </c:pt>
                <c:pt idx="4">
                  <c:v>72</c:v>
                </c:pt>
                <c:pt idx="5">
                  <c:v>109</c:v>
                </c:pt>
                <c:pt idx="6">
                  <c:v>268</c:v>
                </c:pt>
                <c:pt idx="7">
                  <c:v>140</c:v>
                </c:pt>
                <c:pt idx="8">
                  <c:v>283</c:v>
                </c:pt>
                <c:pt idx="9">
                  <c:v>175</c:v>
                </c:pt>
                <c:pt idx="10">
                  <c:v>190</c:v>
                </c:pt>
                <c:pt idx="11">
                  <c:v>220</c:v>
                </c:pt>
                <c:pt idx="12">
                  <c:v>236</c:v>
                </c:pt>
                <c:pt idx="13">
                  <c:v>237</c:v>
                </c:pt>
                <c:pt idx="14">
                  <c:v>266</c:v>
                </c:pt>
                <c:pt idx="15">
                  <c:v>287</c:v>
                </c:pt>
                <c:pt idx="16">
                  <c:v>284</c:v>
                </c:pt>
                <c:pt idx="17">
                  <c:v>325</c:v>
                </c:pt>
                <c:pt idx="18">
                  <c:v>330</c:v>
                </c:pt>
                <c:pt idx="19">
                  <c:v>500</c:v>
                </c:pt>
                <c:pt idx="20">
                  <c:v>342</c:v>
                </c:pt>
                <c:pt idx="21">
                  <c:v>531</c:v>
                </c:pt>
                <c:pt idx="22">
                  <c:v>365</c:v>
                </c:pt>
                <c:pt idx="23">
                  <c:v>439</c:v>
                </c:pt>
                <c:pt idx="24">
                  <c:v>446</c:v>
                </c:pt>
                <c:pt idx="25">
                  <c:v>585</c:v>
                </c:pt>
                <c:pt idx="26">
                  <c:v>603</c:v>
                </c:pt>
                <c:pt idx="27">
                  <c:v>511</c:v>
                </c:pt>
                <c:pt idx="28">
                  <c:v>495</c:v>
                </c:pt>
                <c:pt idx="29">
                  <c:v>533</c:v>
                </c:pt>
                <c:pt idx="30">
                  <c:v>672</c:v>
                </c:pt>
                <c:pt idx="31">
                  <c:v>712</c:v>
                </c:pt>
                <c:pt idx="32">
                  <c:v>571</c:v>
                </c:pt>
                <c:pt idx="33">
                  <c:v>598</c:v>
                </c:pt>
                <c:pt idx="34">
                  <c:v>613</c:v>
                </c:pt>
                <c:pt idx="35">
                  <c:v>752</c:v>
                </c:pt>
                <c:pt idx="36">
                  <c:v>607</c:v>
                </c:pt>
                <c:pt idx="37">
                  <c:v>832</c:v>
                </c:pt>
                <c:pt idx="38">
                  <c:v>814</c:v>
                </c:pt>
                <c:pt idx="39">
                  <c:v>692</c:v>
                </c:pt>
                <c:pt idx="40">
                  <c:v>884</c:v>
                </c:pt>
                <c:pt idx="41">
                  <c:v>901</c:v>
                </c:pt>
                <c:pt idx="42">
                  <c:v>761</c:v>
                </c:pt>
                <c:pt idx="43">
                  <c:v>756</c:v>
                </c:pt>
                <c:pt idx="44">
                  <c:v>929</c:v>
                </c:pt>
                <c:pt idx="45">
                  <c:v>804</c:v>
                </c:pt>
                <c:pt idx="46">
                  <c:v>959</c:v>
                </c:pt>
                <c:pt idx="47">
                  <c:v>855</c:v>
                </c:pt>
                <c:pt idx="48">
                  <c:v>1116</c:v>
                </c:pt>
                <c:pt idx="49">
                  <c:v>864</c:v>
                </c:pt>
                <c:pt idx="50">
                  <c:v>1350</c:v>
                </c:pt>
                <c:pt idx="51">
                  <c:v>1018</c:v>
                </c:pt>
                <c:pt idx="52">
                  <c:v>1184</c:v>
                </c:pt>
                <c:pt idx="53">
                  <c:v>1102</c:v>
                </c:pt>
                <c:pt idx="54">
                  <c:v>1219</c:v>
                </c:pt>
                <c:pt idx="55">
                  <c:v>1386</c:v>
                </c:pt>
                <c:pt idx="56">
                  <c:v>1453</c:v>
                </c:pt>
                <c:pt idx="57">
                  <c:v>1018</c:v>
                </c:pt>
                <c:pt idx="58">
                  <c:v>1211</c:v>
                </c:pt>
                <c:pt idx="59">
                  <c:v>1315</c:v>
                </c:pt>
                <c:pt idx="60">
                  <c:v>1087</c:v>
                </c:pt>
                <c:pt idx="61">
                  <c:v>1075</c:v>
                </c:pt>
                <c:pt idx="62">
                  <c:v>1331</c:v>
                </c:pt>
                <c:pt idx="63">
                  <c:v>1088</c:v>
                </c:pt>
                <c:pt idx="64">
                  <c:v>1372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00-4AA2-A3E0-3F3370F43B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5230608"/>
        <c:axId val="1705231856"/>
      </c:scatterChart>
      <c:valAx>
        <c:axId val="1705230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5231856"/>
        <c:crosses val="autoZero"/>
        <c:crossBetween val="midCat"/>
      </c:valAx>
      <c:valAx>
        <c:axId val="1705231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Blocks Lost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5230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Fully Parallel</c:v>
          </c:tx>
          <c:spPr>
            <a:ln w="19050">
              <a:noFill/>
            </a:ln>
          </c:spPr>
          <c:marker>
            <c:symbol val="circle"/>
            <c:size val="4"/>
          </c:marker>
          <c:xVal>
            <c:numRef>
              <c:f>'Fully Parallel'!$H$2:$H$66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'Fully Parallel'!$K$2:$K$66</c:f>
              <c:numCache>
                <c:formatCode>General</c:formatCode>
                <c:ptCount val="65"/>
                <c:pt idx="0">
                  <c:v>2.9055999999999997</c:v>
                </c:pt>
                <c:pt idx="1">
                  <c:v>0</c:v>
                </c:pt>
                <c:pt idx="2">
                  <c:v>0</c:v>
                </c:pt>
                <c:pt idx="3">
                  <c:v>1.7855999999999999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1.8368</c:v>
                </c:pt>
                <c:pt idx="8">
                  <c:v>1.8368</c:v>
                </c:pt>
                <c:pt idx="9">
                  <c:v>0</c:v>
                </c:pt>
                <c:pt idx="10">
                  <c:v>5.011199999999997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3.8336000000000059</c:v>
                </c:pt>
                <c:pt idx="21">
                  <c:v>0</c:v>
                </c:pt>
                <c:pt idx="22">
                  <c:v>1.7855999999999999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1.8368</c:v>
                </c:pt>
                <c:pt idx="28">
                  <c:v>1.7855999999999999</c:v>
                </c:pt>
                <c:pt idx="29">
                  <c:v>0</c:v>
                </c:pt>
                <c:pt idx="30">
                  <c:v>0</c:v>
                </c:pt>
                <c:pt idx="31">
                  <c:v>4.7551999999999968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1.7855999999999999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1.7855999999999999</c:v>
                </c:pt>
                <c:pt idx="47">
                  <c:v>0</c:v>
                </c:pt>
                <c:pt idx="48">
                  <c:v>1.7855999999999999</c:v>
                </c:pt>
                <c:pt idx="49">
                  <c:v>1.8368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5.4720000000000004</c:v>
                </c:pt>
                <c:pt idx="54">
                  <c:v>1.7855999999999999</c:v>
                </c:pt>
                <c:pt idx="55">
                  <c:v>0</c:v>
                </c:pt>
                <c:pt idx="56">
                  <c:v>0</c:v>
                </c:pt>
                <c:pt idx="57">
                  <c:v>3.4751999999999996</c:v>
                </c:pt>
                <c:pt idx="58">
                  <c:v>1.7855999999999999</c:v>
                </c:pt>
                <c:pt idx="59">
                  <c:v>0</c:v>
                </c:pt>
                <c:pt idx="60">
                  <c:v>0</c:v>
                </c:pt>
                <c:pt idx="61">
                  <c:v>1.7855999999999999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72D-4948-B660-814A9A5D6AC8}"/>
            </c:ext>
          </c:extLst>
        </c:ser>
        <c:ser>
          <c:idx val="0"/>
          <c:order val="1"/>
          <c:tx>
            <c:v>Gbox Only Slips</c:v>
          </c:tx>
          <c:spPr>
            <a:ln w="19050">
              <a:noFill/>
            </a:ln>
          </c:spPr>
          <c:marker>
            <c:symbol val="circle"/>
            <c:size val="4"/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Slips'!$D$3:$D$67</c:f>
              <c:numCache>
                <c:formatCode>General</c:formatCode>
                <c:ptCount val="65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  <c:pt idx="6">
                  <c:v>14.124799999999999</c:v>
                </c:pt>
                <c:pt idx="7">
                  <c:v>7.4176000000000002</c:v>
                </c:pt>
                <c:pt idx="8">
                  <c:v>14.944000000000001</c:v>
                </c:pt>
                <c:pt idx="9">
                  <c:v>9.2607999999999997</c:v>
                </c:pt>
                <c:pt idx="10">
                  <c:v>10.028799999999999</c:v>
                </c:pt>
                <c:pt idx="11">
                  <c:v>11.616</c:v>
                </c:pt>
                <c:pt idx="12">
                  <c:v>12.4352</c:v>
                </c:pt>
                <c:pt idx="13">
                  <c:v>12.4864</c:v>
                </c:pt>
                <c:pt idx="14">
                  <c:v>14.073600000000001</c:v>
                </c:pt>
                <c:pt idx="15">
                  <c:v>15.1488</c:v>
                </c:pt>
                <c:pt idx="16">
                  <c:v>14.995200000000001</c:v>
                </c:pt>
                <c:pt idx="17">
                  <c:v>17.1968</c:v>
                </c:pt>
                <c:pt idx="18">
                  <c:v>17.4528</c:v>
                </c:pt>
                <c:pt idx="19">
                  <c:v>26.412800000000001</c:v>
                </c:pt>
                <c:pt idx="20">
                  <c:v>18.015999999999998</c:v>
                </c:pt>
                <c:pt idx="21">
                  <c:v>28.051200000000001</c:v>
                </c:pt>
                <c:pt idx="22">
                  <c:v>19.295999999999999</c:v>
                </c:pt>
                <c:pt idx="23">
                  <c:v>23.187200000000001</c:v>
                </c:pt>
                <c:pt idx="24">
                  <c:v>23.5456</c:v>
                </c:pt>
                <c:pt idx="25">
                  <c:v>30.918400000000002</c:v>
                </c:pt>
                <c:pt idx="26">
                  <c:v>31.84</c:v>
                </c:pt>
                <c:pt idx="27">
                  <c:v>27.027200000000001</c:v>
                </c:pt>
                <c:pt idx="28">
                  <c:v>26.1568</c:v>
                </c:pt>
                <c:pt idx="29">
                  <c:v>28.153599999999997</c:v>
                </c:pt>
                <c:pt idx="30">
                  <c:v>35.475199999999994</c:v>
                </c:pt>
                <c:pt idx="31">
                  <c:v>37.574400000000004</c:v>
                </c:pt>
                <c:pt idx="32">
                  <c:v>30.150400000000001</c:v>
                </c:pt>
                <c:pt idx="33">
                  <c:v>31.584</c:v>
                </c:pt>
                <c:pt idx="34">
                  <c:v>32.351999999999997</c:v>
                </c:pt>
                <c:pt idx="35">
                  <c:v>39.6736</c:v>
                </c:pt>
                <c:pt idx="36">
                  <c:v>32.044800000000002</c:v>
                </c:pt>
                <c:pt idx="37">
                  <c:v>43.923199999999994</c:v>
                </c:pt>
                <c:pt idx="38">
                  <c:v>43.001599999999996</c:v>
                </c:pt>
                <c:pt idx="39">
                  <c:v>36.550400000000003</c:v>
                </c:pt>
                <c:pt idx="40">
                  <c:v>46.688000000000002</c:v>
                </c:pt>
                <c:pt idx="41">
                  <c:v>47.558399999999999</c:v>
                </c:pt>
                <c:pt idx="42">
                  <c:v>40.134399999999999</c:v>
                </c:pt>
                <c:pt idx="43">
                  <c:v>39.878399999999999</c:v>
                </c:pt>
                <c:pt idx="44">
                  <c:v>49.043199999999999</c:v>
                </c:pt>
                <c:pt idx="45">
                  <c:v>42.438400000000001</c:v>
                </c:pt>
                <c:pt idx="46">
                  <c:v>50.630400000000002</c:v>
                </c:pt>
                <c:pt idx="47">
                  <c:v>45.152000000000001</c:v>
                </c:pt>
                <c:pt idx="48">
                  <c:v>58.924800000000005</c:v>
                </c:pt>
                <c:pt idx="49">
                  <c:v>45.6128</c:v>
                </c:pt>
                <c:pt idx="50">
                  <c:v>71.263999999999996</c:v>
                </c:pt>
                <c:pt idx="51">
                  <c:v>53.753599999999999</c:v>
                </c:pt>
                <c:pt idx="52">
                  <c:v>62.508800000000001</c:v>
                </c:pt>
                <c:pt idx="53">
                  <c:v>58.207999999999998</c:v>
                </c:pt>
                <c:pt idx="54">
                  <c:v>64.352000000000004</c:v>
                </c:pt>
                <c:pt idx="55">
                  <c:v>73.209600000000009</c:v>
                </c:pt>
                <c:pt idx="56">
                  <c:v>76.691199999999995</c:v>
                </c:pt>
                <c:pt idx="57">
                  <c:v>53.753599999999999</c:v>
                </c:pt>
                <c:pt idx="58">
                  <c:v>63.942399999999999</c:v>
                </c:pt>
                <c:pt idx="59">
                  <c:v>69.4208</c:v>
                </c:pt>
                <c:pt idx="60">
                  <c:v>57.388800000000003</c:v>
                </c:pt>
                <c:pt idx="61">
                  <c:v>56.7744</c:v>
                </c:pt>
                <c:pt idx="62">
                  <c:v>70.239999999999995</c:v>
                </c:pt>
                <c:pt idx="63">
                  <c:v>57.44</c:v>
                </c:pt>
                <c:pt idx="64">
                  <c:v>72.441600000000008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72D-4948-B660-814A9A5D6AC8}"/>
            </c:ext>
          </c:extLst>
        </c:ser>
        <c:ser>
          <c:idx val="1"/>
          <c:order val="2"/>
          <c:tx>
            <c:v>Original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ln cap="flat">
                <a:solidFill>
                  <a:schemeClr val="accent2">
                    <a:alpha val="98000"/>
                  </a:schemeClr>
                </a:solidFill>
              </a:ln>
            </c:spPr>
          </c:marker>
          <c:dPt>
            <c:idx val="41"/>
            <c:bubble3D val="0"/>
            <c:extLst>
              <c:ext xmlns:c16="http://schemas.microsoft.com/office/drawing/2014/chart" uri="{C3380CC4-5D6E-409C-BE32-E72D297353CC}">
                <c16:uniqueId val="{00000010-172D-4948-B660-814A9A5D6AC8}"/>
              </c:ext>
            </c:extLst>
          </c:dPt>
          <c:xVal>
            <c:numRef>
              <c:f>'Gbox Slips'!$A$4:$A$67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System'!$P$2:$P$65</c:f>
              <c:numCache>
                <c:formatCode>General</c:formatCode>
                <c:ptCount val="64"/>
                <c:pt idx="0">
                  <c:v>8.3903999999999996</c:v>
                </c:pt>
                <c:pt idx="1">
                  <c:v>9.4143999999999988</c:v>
                </c:pt>
                <c:pt idx="2">
                  <c:v>11.0016</c:v>
                </c:pt>
                <c:pt idx="3">
                  <c:v>9.2096</c:v>
                </c:pt>
                <c:pt idx="4">
                  <c:v>25.491199999999999</c:v>
                </c:pt>
                <c:pt idx="5">
                  <c:v>17.760000000000002</c:v>
                </c:pt>
                <c:pt idx="6">
                  <c:v>27.488</c:v>
                </c:pt>
                <c:pt idx="7">
                  <c:v>38.086400000000005</c:v>
                </c:pt>
                <c:pt idx="8">
                  <c:v>31.993599999999997</c:v>
                </c:pt>
                <c:pt idx="9">
                  <c:v>43.052800000000005</c:v>
                </c:pt>
                <c:pt idx="10">
                  <c:v>44.179199999999994</c:v>
                </c:pt>
                <c:pt idx="11">
                  <c:v>51.910400000000003</c:v>
                </c:pt>
                <c:pt idx="12">
                  <c:v>59.539199999999994</c:v>
                </c:pt>
                <c:pt idx="13">
                  <c:v>61.689599999999999</c:v>
                </c:pt>
                <c:pt idx="14">
                  <c:v>61.945599999999999</c:v>
                </c:pt>
                <c:pt idx="15">
                  <c:v>69.4208</c:v>
                </c:pt>
                <c:pt idx="16">
                  <c:v>76.947199999999995</c:v>
                </c:pt>
                <c:pt idx="17">
                  <c:v>77.356800000000007</c:v>
                </c:pt>
                <c:pt idx="18">
                  <c:v>78.278399999999991</c:v>
                </c:pt>
                <c:pt idx="19">
                  <c:v>85.497600000000006</c:v>
                </c:pt>
                <c:pt idx="20">
                  <c:v>93.89439999999999</c:v>
                </c:pt>
                <c:pt idx="21">
                  <c:v>96.966399999999993</c:v>
                </c:pt>
                <c:pt idx="22">
                  <c:v>86.419200000000004</c:v>
                </c:pt>
                <c:pt idx="23">
                  <c:v>103.92960000000001</c:v>
                </c:pt>
                <c:pt idx="24">
                  <c:v>111.5072</c:v>
                </c:pt>
                <c:pt idx="25">
                  <c:v>111.91680000000001</c:v>
                </c:pt>
                <c:pt idx="26">
                  <c:v>112.83839999999999</c:v>
                </c:pt>
                <c:pt idx="27">
                  <c:v>120.56960000000001</c:v>
                </c:pt>
                <c:pt idx="28">
                  <c:v>128.6592</c:v>
                </c:pt>
                <c:pt idx="29">
                  <c:v>128.608</c:v>
                </c:pt>
                <c:pt idx="30">
                  <c:v>129.99039999999999</c:v>
                </c:pt>
                <c:pt idx="31">
                  <c:v>139.0016</c:v>
                </c:pt>
                <c:pt idx="32">
                  <c:v>129.52960000000002</c:v>
                </c:pt>
                <c:pt idx="33">
                  <c:v>135.72479999999999</c:v>
                </c:pt>
                <c:pt idx="34">
                  <c:v>147.2448</c:v>
                </c:pt>
                <c:pt idx="35">
                  <c:v>155.43679999999998</c:v>
                </c:pt>
                <c:pt idx="36">
                  <c:v>161.9392</c:v>
                </c:pt>
                <c:pt idx="37">
                  <c:v>163.01439999999999</c:v>
                </c:pt>
                <c:pt idx="38">
                  <c:v>154.77120000000002</c:v>
                </c:pt>
                <c:pt idx="39">
                  <c:v>172.0256</c:v>
                </c:pt>
                <c:pt idx="40">
                  <c:v>180.93439999999998</c:v>
                </c:pt>
                <c:pt idx="41">
                  <c:v>171.4624</c:v>
                </c:pt>
                <c:pt idx="42">
                  <c:v>181.44639999999998</c:v>
                </c:pt>
                <c:pt idx="43">
                  <c:v>181.39520000000002</c:v>
                </c:pt>
                <c:pt idx="44">
                  <c:v>197.36960000000002</c:v>
                </c:pt>
                <c:pt idx="45">
                  <c:v>190.40639999999999</c:v>
                </c:pt>
                <c:pt idx="46">
                  <c:v>180.7296</c:v>
                </c:pt>
                <c:pt idx="47">
                  <c:v>204.7424</c:v>
                </c:pt>
                <c:pt idx="48">
                  <c:v>213.8048</c:v>
                </c:pt>
                <c:pt idx="49">
                  <c:v>216.05760000000001</c:v>
                </c:pt>
                <c:pt idx="50">
                  <c:v>217.952</c:v>
                </c:pt>
                <c:pt idx="51">
                  <c:v>215.54560000000001</c:v>
                </c:pt>
                <c:pt idx="52">
                  <c:v>212.2688</c:v>
                </c:pt>
                <c:pt idx="53">
                  <c:v>231.3152</c:v>
                </c:pt>
                <c:pt idx="54">
                  <c:v>233.46559999999999</c:v>
                </c:pt>
                <c:pt idx="55">
                  <c:v>232.6464</c:v>
                </c:pt>
                <c:pt idx="56">
                  <c:v>232.6464</c:v>
                </c:pt>
                <c:pt idx="57">
                  <c:v>249.74720000000002</c:v>
                </c:pt>
                <c:pt idx="58">
                  <c:v>240.4288</c:v>
                </c:pt>
                <c:pt idx="59">
                  <c:v>231.00800000000001</c:v>
                </c:pt>
                <c:pt idx="60">
                  <c:v>3.7311999999999999</c:v>
                </c:pt>
                <c:pt idx="61">
                  <c:v>213.39520000000002</c:v>
                </c:pt>
                <c:pt idx="62">
                  <c:v>8.3391999999999999</c:v>
                </c:pt>
                <c:pt idx="63">
                  <c:v>254.56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72D-4948-B660-814A9A5D6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67008"/>
        <c:axId val="941460352"/>
      </c:scatterChart>
      <c:valAx>
        <c:axId val="94146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0352"/>
        <c:crosses val="autoZero"/>
        <c:crossBetween val="midCat"/>
      </c:valAx>
      <c:valAx>
        <c:axId val="94146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7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</c:legend>
    <c:plotVisOnly val="1"/>
    <c:dispBlanksAs val="gap"/>
    <c:showDLblsOverMax val="0"/>
    <c:extLst/>
  </c:chart>
  <c:spPr>
    <a:ln w="6350"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Fully Parallel</c:v>
          </c:tx>
          <c:spPr>
            <a:ln w="19050">
              <a:noFill/>
            </a:ln>
          </c:spPr>
          <c:marker>
            <c:symbol val="circle"/>
            <c:size val="4"/>
          </c:marker>
          <c:xVal>
            <c:numRef>
              <c:f>'Fully Parallel'!$H$2:$H$66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'Fully Parallel'!$K$2:$K$66</c:f>
              <c:numCache>
                <c:formatCode>General</c:formatCode>
                <c:ptCount val="65"/>
                <c:pt idx="0">
                  <c:v>2.9055999999999997</c:v>
                </c:pt>
                <c:pt idx="1">
                  <c:v>0</c:v>
                </c:pt>
                <c:pt idx="2">
                  <c:v>0</c:v>
                </c:pt>
                <c:pt idx="3">
                  <c:v>1.7855999999999999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1.8368</c:v>
                </c:pt>
                <c:pt idx="8">
                  <c:v>1.8368</c:v>
                </c:pt>
                <c:pt idx="9">
                  <c:v>0</c:v>
                </c:pt>
                <c:pt idx="10">
                  <c:v>5.011199999999997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3.8336000000000059</c:v>
                </c:pt>
                <c:pt idx="21">
                  <c:v>0</c:v>
                </c:pt>
                <c:pt idx="22">
                  <c:v>1.7855999999999999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1.8368</c:v>
                </c:pt>
                <c:pt idx="28">
                  <c:v>1.7855999999999999</c:v>
                </c:pt>
                <c:pt idx="29">
                  <c:v>0</c:v>
                </c:pt>
                <c:pt idx="30">
                  <c:v>0</c:v>
                </c:pt>
                <c:pt idx="31">
                  <c:v>4.7551999999999968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1.7855999999999999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1.7855999999999999</c:v>
                </c:pt>
                <c:pt idx="47">
                  <c:v>0</c:v>
                </c:pt>
                <c:pt idx="48">
                  <c:v>1.7855999999999999</c:v>
                </c:pt>
                <c:pt idx="49">
                  <c:v>1.8368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5.4720000000000004</c:v>
                </c:pt>
                <c:pt idx="54">
                  <c:v>1.7855999999999999</c:v>
                </c:pt>
                <c:pt idx="55">
                  <c:v>0</c:v>
                </c:pt>
                <c:pt idx="56">
                  <c:v>0</c:v>
                </c:pt>
                <c:pt idx="57">
                  <c:v>3.4751999999999996</c:v>
                </c:pt>
                <c:pt idx="58">
                  <c:v>1.7855999999999999</c:v>
                </c:pt>
                <c:pt idx="59">
                  <c:v>0</c:v>
                </c:pt>
                <c:pt idx="60">
                  <c:v>0</c:v>
                </c:pt>
                <c:pt idx="61">
                  <c:v>1.7855999999999999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94-4F87-81FB-CA21F6586EA3}"/>
            </c:ext>
          </c:extLst>
        </c:ser>
        <c:ser>
          <c:idx val="0"/>
          <c:order val="1"/>
          <c:tx>
            <c:v>Gbox Only Slips</c:v>
          </c:tx>
          <c:spPr>
            <a:ln w="19050">
              <a:noFill/>
            </a:ln>
          </c:spPr>
          <c:marker>
            <c:symbol val="circle"/>
            <c:size val="4"/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Slips'!$D$3:$D$67</c:f>
              <c:numCache>
                <c:formatCode>General</c:formatCode>
                <c:ptCount val="65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  <c:pt idx="6">
                  <c:v>14.124799999999999</c:v>
                </c:pt>
                <c:pt idx="7">
                  <c:v>7.4176000000000002</c:v>
                </c:pt>
                <c:pt idx="8">
                  <c:v>14.944000000000001</c:v>
                </c:pt>
                <c:pt idx="9">
                  <c:v>9.2607999999999997</c:v>
                </c:pt>
                <c:pt idx="10">
                  <c:v>10.028799999999999</c:v>
                </c:pt>
                <c:pt idx="11">
                  <c:v>11.616</c:v>
                </c:pt>
                <c:pt idx="12">
                  <c:v>12.4352</c:v>
                </c:pt>
                <c:pt idx="13">
                  <c:v>12.4864</c:v>
                </c:pt>
                <c:pt idx="14">
                  <c:v>14.073600000000001</c:v>
                </c:pt>
                <c:pt idx="15">
                  <c:v>15.1488</c:v>
                </c:pt>
                <c:pt idx="16">
                  <c:v>14.995200000000001</c:v>
                </c:pt>
                <c:pt idx="17">
                  <c:v>17.1968</c:v>
                </c:pt>
                <c:pt idx="18">
                  <c:v>17.4528</c:v>
                </c:pt>
                <c:pt idx="19">
                  <c:v>26.412800000000001</c:v>
                </c:pt>
                <c:pt idx="20">
                  <c:v>18.015999999999998</c:v>
                </c:pt>
                <c:pt idx="21">
                  <c:v>28.051200000000001</c:v>
                </c:pt>
                <c:pt idx="22">
                  <c:v>19.295999999999999</c:v>
                </c:pt>
                <c:pt idx="23">
                  <c:v>23.187200000000001</c:v>
                </c:pt>
                <c:pt idx="24">
                  <c:v>23.5456</c:v>
                </c:pt>
                <c:pt idx="25">
                  <c:v>30.918400000000002</c:v>
                </c:pt>
                <c:pt idx="26">
                  <c:v>31.84</c:v>
                </c:pt>
                <c:pt idx="27">
                  <c:v>27.027200000000001</c:v>
                </c:pt>
                <c:pt idx="28">
                  <c:v>26.1568</c:v>
                </c:pt>
                <c:pt idx="29">
                  <c:v>28.153599999999997</c:v>
                </c:pt>
                <c:pt idx="30">
                  <c:v>35.475199999999994</c:v>
                </c:pt>
                <c:pt idx="31">
                  <c:v>37.574400000000004</c:v>
                </c:pt>
                <c:pt idx="32">
                  <c:v>30.150400000000001</c:v>
                </c:pt>
                <c:pt idx="33">
                  <c:v>31.584</c:v>
                </c:pt>
                <c:pt idx="34">
                  <c:v>32.351999999999997</c:v>
                </c:pt>
                <c:pt idx="35">
                  <c:v>39.6736</c:v>
                </c:pt>
                <c:pt idx="36">
                  <c:v>32.044800000000002</c:v>
                </c:pt>
                <c:pt idx="37">
                  <c:v>43.923199999999994</c:v>
                </c:pt>
                <c:pt idx="38">
                  <c:v>43.001599999999996</c:v>
                </c:pt>
                <c:pt idx="39">
                  <c:v>36.550400000000003</c:v>
                </c:pt>
                <c:pt idx="40">
                  <c:v>46.688000000000002</c:v>
                </c:pt>
                <c:pt idx="41">
                  <c:v>47.558399999999999</c:v>
                </c:pt>
                <c:pt idx="42">
                  <c:v>40.134399999999999</c:v>
                </c:pt>
                <c:pt idx="43">
                  <c:v>39.878399999999999</c:v>
                </c:pt>
                <c:pt idx="44">
                  <c:v>49.043199999999999</c:v>
                </c:pt>
                <c:pt idx="45">
                  <c:v>42.438400000000001</c:v>
                </c:pt>
                <c:pt idx="46">
                  <c:v>50.630400000000002</c:v>
                </c:pt>
                <c:pt idx="47">
                  <c:v>45.152000000000001</c:v>
                </c:pt>
                <c:pt idx="48">
                  <c:v>58.924800000000005</c:v>
                </c:pt>
                <c:pt idx="49">
                  <c:v>45.6128</c:v>
                </c:pt>
                <c:pt idx="50">
                  <c:v>71.263999999999996</c:v>
                </c:pt>
                <c:pt idx="51">
                  <c:v>53.753599999999999</c:v>
                </c:pt>
                <c:pt idx="52">
                  <c:v>62.508800000000001</c:v>
                </c:pt>
                <c:pt idx="53">
                  <c:v>58.207999999999998</c:v>
                </c:pt>
                <c:pt idx="54">
                  <c:v>64.352000000000004</c:v>
                </c:pt>
                <c:pt idx="55">
                  <c:v>73.209600000000009</c:v>
                </c:pt>
                <c:pt idx="56">
                  <c:v>76.691199999999995</c:v>
                </c:pt>
                <c:pt idx="57">
                  <c:v>53.753599999999999</c:v>
                </c:pt>
                <c:pt idx="58">
                  <c:v>63.942399999999999</c:v>
                </c:pt>
                <c:pt idx="59">
                  <c:v>69.4208</c:v>
                </c:pt>
                <c:pt idx="60">
                  <c:v>57.388800000000003</c:v>
                </c:pt>
                <c:pt idx="61">
                  <c:v>56.7744</c:v>
                </c:pt>
                <c:pt idx="62">
                  <c:v>70.239999999999995</c:v>
                </c:pt>
                <c:pt idx="63">
                  <c:v>57.44</c:v>
                </c:pt>
                <c:pt idx="64">
                  <c:v>72.441600000000008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894-4F87-81FB-CA21F6586E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67008"/>
        <c:axId val="941460352"/>
      </c:scatterChart>
      <c:valAx>
        <c:axId val="94146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0352"/>
        <c:crosses val="autoZero"/>
        <c:crossBetween val="midCat"/>
      </c:valAx>
      <c:valAx>
        <c:axId val="94146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7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</c:legend>
    <c:plotVisOnly val="1"/>
    <c:dispBlanksAs val="gap"/>
    <c:showDLblsOverMax val="0"/>
    <c:extLst/>
  </c:chart>
  <c:spPr>
    <a:ln w="6350"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Fully Parallel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'Fully Parallel'!$R$2:$R$12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-5</c:v>
                </c:pt>
                <c:pt idx="7">
                  <c:v>-4</c:v>
                </c:pt>
                <c:pt idx="8">
                  <c:v>-3</c:v>
                </c:pt>
                <c:pt idx="9">
                  <c:v>-2</c:v>
                </c:pt>
                <c:pt idx="10">
                  <c:v>-1</c:v>
                </c:pt>
              </c:numCache>
            </c:numRef>
          </c:xVal>
          <c:yVal>
            <c:numRef>
              <c:f>'Fully Parallel'!$S$2:$S$12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1.7855999999999999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1.7855999999999999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CD-4D47-AB07-7D7E6F897745}"/>
            </c:ext>
          </c:extLst>
        </c:ser>
        <c:ser>
          <c:idx val="1"/>
          <c:order val="1"/>
          <c:tx>
            <c:v>"Gbox Only Slips"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'Fully Parallel'!$U$2:$U$12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-5</c:v>
                </c:pt>
                <c:pt idx="7">
                  <c:v>-4</c:v>
                </c:pt>
                <c:pt idx="8">
                  <c:v>-3</c:v>
                </c:pt>
                <c:pt idx="9">
                  <c:v>-2</c:v>
                </c:pt>
                <c:pt idx="10">
                  <c:v>-1</c:v>
                </c:pt>
              </c:numCache>
            </c:numRef>
          </c:xVal>
          <c:yVal>
            <c:numRef>
              <c:f>'Fully Parallel'!$V$2:$V$12</c:f>
              <c:numCache>
                <c:formatCode>General</c:formatCode>
                <c:ptCount val="11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  <c:pt idx="6">
                  <c:v>57.388800000000003</c:v>
                </c:pt>
                <c:pt idx="7">
                  <c:v>56.7744</c:v>
                </c:pt>
                <c:pt idx="8">
                  <c:v>70.239999999999995</c:v>
                </c:pt>
                <c:pt idx="9">
                  <c:v>57.44</c:v>
                </c:pt>
                <c:pt idx="10">
                  <c:v>72.441600000000008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0CD-4D47-AB07-7D7E6F897745}"/>
            </c:ext>
          </c:extLst>
        </c:ser>
        <c:ser>
          <c:idx val="2"/>
          <c:order val="2"/>
          <c:tx>
            <c:v>"Original System"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'Fully Parallel'!$X$2:$X$13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-5</c:v>
                </c:pt>
                <c:pt idx="7">
                  <c:v>-4</c:v>
                </c:pt>
                <c:pt idx="8">
                  <c:v>-3</c:v>
                </c:pt>
                <c:pt idx="9">
                  <c:v>-2</c:v>
                </c:pt>
                <c:pt idx="10">
                  <c:v>-1</c:v>
                </c:pt>
              </c:numCache>
            </c:numRef>
          </c:xVal>
          <c:yVal>
            <c:numRef>
              <c:f>'Fully Parallel'!$Y$2:$Y$12</c:f>
              <c:numCache>
                <c:formatCode>General</c:formatCode>
                <c:ptCount val="11"/>
                <c:pt idx="0">
                  <c:v>0</c:v>
                </c:pt>
                <c:pt idx="1">
                  <c:v>8.3903999999999996</c:v>
                </c:pt>
                <c:pt idx="2">
                  <c:v>9.4143999999999988</c:v>
                </c:pt>
                <c:pt idx="3">
                  <c:v>11.0016</c:v>
                </c:pt>
                <c:pt idx="4">
                  <c:v>9.2096</c:v>
                </c:pt>
                <c:pt idx="5">
                  <c:v>25.491199999999999</c:v>
                </c:pt>
                <c:pt idx="6">
                  <c:v>231.00800000000001</c:v>
                </c:pt>
                <c:pt idx="7">
                  <c:v>3.7311999999999999</c:v>
                </c:pt>
                <c:pt idx="8">
                  <c:v>213.39520000000002</c:v>
                </c:pt>
                <c:pt idx="9">
                  <c:v>8.3391999999999999</c:v>
                </c:pt>
                <c:pt idx="10">
                  <c:v>254.56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0CD-4D47-AB07-7D7E6F8977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0741599"/>
        <c:axId val="1750737023"/>
      </c:scatterChart>
      <c:valAx>
        <c:axId val="17507415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0737023"/>
        <c:crosses val="autoZero"/>
        <c:crossBetween val="midCat"/>
      </c:valAx>
      <c:valAx>
        <c:axId val="17507370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0741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Fully Parallel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'Fully Parallel'!$R$2:$R$12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-5</c:v>
                </c:pt>
                <c:pt idx="7">
                  <c:v>-4</c:v>
                </c:pt>
                <c:pt idx="8">
                  <c:v>-3</c:v>
                </c:pt>
                <c:pt idx="9">
                  <c:v>-2</c:v>
                </c:pt>
                <c:pt idx="10">
                  <c:v>-1</c:v>
                </c:pt>
              </c:numCache>
            </c:numRef>
          </c:xVal>
          <c:yVal>
            <c:numRef>
              <c:f>'Fully Parallel'!$S$2:$S$12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1.7855999999999999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1.7855999999999999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02-4B76-AF09-1F1F55FAE9AE}"/>
            </c:ext>
          </c:extLst>
        </c:ser>
        <c:ser>
          <c:idx val="1"/>
          <c:order val="1"/>
          <c:tx>
            <c:v>"Gbox Only Slips"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'Fully Parallel'!$U$2:$U$12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-5</c:v>
                </c:pt>
                <c:pt idx="7">
                  <c:v>-4</c:v>
                </c:pt>
                <c:pt idx="8">
                  <c:v>-3</c:v>
                </c:pt>
                <c:pt idx="9">
                  <c:v>-2</c:v>
                </c:pt>
                <c:pt idx="10">
                  <c:v>-1</c:v>
                </c:pt>
              </c:numCache>
            </c:numRef>
          </c:xVal>
          <c:yVal>
            <c:numRef>
              <c:f>'Fully Parallel'!$V$2:$V$12</c:f>
              <c:numCache>
                <c:formatCode>General</c:formatCode>
                <c:ptCount val="11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  <c:pt idx="6">
                  <c:v>57.388800000000003</c:v>
                </c:pt>
                <c:pt idx="7">
                  <c:v>56.7744</c:v>
                </c:pt>
                <c:pt idx="8">
                  <c:v>70.239999999999995</c:v>
                </c:pt>
                <c:pt idx="9">
                  <c:v>57.44</c:v>
                </c:pt>
                <c:pt idx="10">
                  <c:v>72.441600000000008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502-4B76-AF09-1F1F55FAE9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0741599"/>
        <c:axId val="1750737023"/>
      </c:scatterChart>
      <c:valAx>
        <c:axId val="17507415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0737023"/>
        <c:crosses val="autoZero"/>
        <c:crossBetween val="midCat"/>
      </c:valAx>
      <c:valAx>
        <c:axId val="17507370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0741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Fully Parallel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'Fully Parallel'!$R$2:$R$7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'Fully Parallel'!$S$2:$S$7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1.7855999999999999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8A-498F-92D6-558E661F6B67}"/>
            </c:ext>
          </c:extLst>
        </c:ser>
        <c:ser>
          <c:idx val="1"/>
          <c:order val="1"/>
          <c:tx>
            <c:v>"Gbox Only Slips"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'Fully Parallel'!$U$2:$U$7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'Fully Parallel'!$V$2:$V$7</c:f>
              <c:numCache>
                <c:formatCode>General</c:formatCode>
                <c:ptCount val="6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8A-498F-92D6-558E661F6B67}"/>
            </c:ext>
          </c:extLst>
        </c:ser>
        <c:ser>
          <c:idx val="2"/>
          <c:order val="2"/>
          <c:tx>
            <c:v>"Original System"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'Fully Parallel'!$X$2:$X$7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'Fully Parallel'!$Y$2:$Y$7</c:f>
              <c:numCache>
                <c:formatCode>General</c:formatCode>
                <c:ptCount val="6"/>
                <c:pt idx="0">
                  <c:v>0</c:v>
                </c:pt>
                <c:pt idx="1">
                  <c:v>8.3903999999999996</c:v>
                </c:pt>
                <c:pt idx="2">
                  <c:v>9.4143999999999988</c:v>
                </c:pt>
                <c:pt idx="3">
                  <c:v>11.0016</c:v>
                </c:pt>
                <c:pt idx="4">
                  <c:v>9.2096</c:v>
                </c:pt>
                <c:pt idx="5">
                  <c:v>25.491199999999999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F8A-498F-92D6-558E661F6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0741599"/>
        <c:axId val="1750737023"/>
      </c:scatterChart>
      <c:valAx>
        <c:axId val="17507415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0737023"/>
        <c:crosses val="autoZero"/>
        <c:crossBetween val="midCat"/>
      </c:valAx>
      <c:valAx>
        <c:axId val="17507370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0741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Blocks Lost During Resync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'Fully Parallel'!$H$3:$H$66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'Fully Parallel'!$M$3:$M$66</c:f>
              <c:numCache>
                <c:formatCode>General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33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35</c:v>
                </c:pt>
                <c:pt idx="7">
                  <c:v>35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34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35</c:v>
                </c:pt>
                <c:pt idx="27">
                  <c:v>33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34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34</c:v>
                </c:pt>
                <c:pt idx="46">
                  <c:v>0</c:v>
                </c:pt>
                <c:pt idx="47">
                  <c:v>34</c:v>
                </c:pt>
                <c:pt idx="48">
                  <c:v>35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34</c:v>
                </c:pt>
                <c:pt idx="53">
                  <c:v>34</c:v>
                </c:pt>
                <c:pt idx="54">
                  <c:v>0</c:v>
                </c:pt>
                <c:pt idx="55">
                  <c:v>0</c:v>
                </c:pt>
                <c:pt idx="56">
                  <c:v>66</c:v>
                </c:pt>
                <c:pt idx="57">
                  <c:v>34</c:v>
                </c:pt>
                <c:pt idx="58">
                  <c:v>0</c:v>
                </c:pt>
                <c:pt idx="59">
                  <c:v>0</c:v>
                </c:pt>
                <c:pt idx="60">
                  <c:v>34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E1A-48AD-A703-22BF8B1519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9470495"/>
        <c:axId val="2099460927"/>
      </c:scatterChart>
      <c:valAx>
        <c:axId val="2099470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60927"/>
        <c:crosses val="autoZero"/>
        <c:crossBetween val="midCat"/>
      </c:valAx>
      <c:valAx>
        <c:axId val="2099460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704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Absolute Resource Utilization of Resync Schemes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'Resource Utilization'!$B$1</c:f>
              <c:strCache>
                <c:ptCount val="1"/>
                <c:pt idx="0">
                  <c:v>Free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'Resource Utilization'!$A$2:$A$3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'Resource Utilization'!$B$2:$B$3</c:f>
              <c:numCache>
                <c:formatCode>General</c:formatCode>
                <c:ptCount val="2"/>
                <c:pt idx="0">
                  <c:v>191</c:v>
                </c:pt>
                <c:pt idx="1">
                  <c:v>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E4-49CB-9FB9-508349E28C6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88852832"/>
        <c:axId val="488868640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'Resource Utilization'!$C$1</c15:sqref>
                        </c15:formulaRef>
                      </c:ext>
                    </c:extLst>
                    <c:strCache>
                      <c:ptCount val="1"/>
                      <c:pt idx="0">
                        <c:v>Parallel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'Resource Utilization'!$A$2:$A$3</c15:sqref>
                        </c15:formulaRef>
                      </c:ext>
                    </c:extLst>
                    <c:strCache>
                      <c:ptCount val="2"/>
                      <c:pt idx="0">
                        <c:v>LUTs</c:v>
                      </c:pt>
                      <c:pt idx="1">
                        <c:v>FFs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'Resource Utilization'!$C$2:$C$3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1381</c:v>
                      </c:pt>
                      <c:pt idx="1">
                        <c:v>1067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2BE4-49CB-9FB9-508349E28C65}"/>
                  </c:ext>
                </c:extLst>
              </c15:ser>
            </c15:filteredBarSeries>
          </c:ext>
        </c:extLst>
      </c:barChart>
      <c:catAx>
        <c:axId val="488852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868640"/>
        <c:crosses val="autoZero"/>
        <c:auto val="1"/>
        <c:lblAlgn val="ctr"/>
        <c:lblOffset val="100"/>
        <c:noMultiLvlLbl val="0"/>
      </c:catAx>
      <c:valAx>
        <c:axId val="48886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852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% Resource</a:t>
            </a:r>
            <a:r>
              <a:rPr lang="en-US" baseline="0"/>
              <a:t> Utilization with Kintex 7 T160 Target FPGA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'Resource Utilization'!$F$1</c:f>
              <c:strCache>
                <c:ptCount val="1"/>
                <c:pt idx="0">
                  <c:v>Free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'Resource Utilization'!$E$2:$E$3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'Resource Utilization'!$F$2:$F$3</c:f>
              <c:numCache>
                <c:formatCode>0.00%</c:formatCode>
                <c:ptCount val="2"/>
                <c:pt idx="0">
                  <c:v>1.9E-3</c:v>
                </c:pt>
                <c:pt idx="1">
                  <c:v>1.6999999999999999E-3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D1-49D3-A165-CE4AE15470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8863232"/>
        <c:axId val="488854496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'Resource Utilization'!$G$1</c15:sqref>
                        </c15:formulaRef>
                      </c:ext>
                    </c:extLst>
                    <c:strCache>
                      <c:ptCount val="1"/>
                      <c:pt idx="0">
                        <c:v>Parallel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'Resource Utilization'!$E$2:$E$3</c15:sqref>
                        </c15:formulaRef>
                      </c:ext>
                    </c:extLst>
                    <c:strCache>
                      <c:ptCount val="2"/>
                      <c:pt idx="0">
                        <c:v>LUTs</c:v>
                      </c:pt>
                      <c:pt idx="1">
                        <c:v>FFs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'Resource Utilization'!$G$2:$G$3</c15:sqref>
                        </c15:formulaRef>
                      </c:ext>
                    </c:extLst>
                    <c:numCache>
                      <c:formatCode>0.00%</c:formatCode>
                      <c:ptCount val="2"/>
                      <c:pt idx="0">
                        <c:v>1.3599999999999999E-2</c:v>
                      </c:pt>
                      <c:pt idx="1">
                        <c:v>5.3E-3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6AD1-49D3-A165-CE4AE1547096}"/>
                  </c:ext>
                </c:extLst>
              </c15:ser>
            </c15:filteredBarSeries>
          </c:ext>
        </c:extLst>
      </c:barChart>
      <c:catAx>
        <c:axId val="488863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854496"/>
        <c:crosses val="autoZero"/>
        <c:auto val="1"/>
        <c:lblAlgn val="ctr"/>
        <c:lblOffset val="100"/>
        <c:noMultiLvlLbl val="0"/>
      </c:catAx>
      <c:valAx>
        <c:axId val="488854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863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Absolute Resource Utilization of Resync Schemes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'Resource Utilization'!$B$9</c:f>
              <c:strCache>
                <c:ptCount val="1"/>
                <c:pt idx="0">
                  <c:v>Original Scheme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'Resource Utilization'!$A$10:$A$11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'Resource Utilization'!$B$10:$B$11</c:f>
              <c:numCache>
                <c:formatCode>General</c:formatCode>
                <c:ptCount val="2"/>
                <c:pt idx="0">
                  <c:v>191</c:v>
                </c:pt>
                <c:pt idx="1">
                  <c:v>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20-44EF-A88B-061B6C804892}"/>
            </c:ext>
          </c:extLst>
        </c:ser>
        <c:ser>
          <c:idx val="1"/>
          <c:order val="1"/>
          <c:tx>
            <c:strRef>
              <c:f>'Resource Utilization'!$C$9</c:f>
              <c:strCache>
                <c:ptCount val="1"/>
                <c:pt idx="0">
                  <c:v>HS6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'Resource Utilization'!$A$10:$A$11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'Resource Utilization'!$C$10:$C$11</c:f>
              <c:numCache>
                <c:formatCode>General</c:formatCode>
                <c:ptCount val="2"/>
                <c:pt idx="0">
                  <c:v>523</c:v>
                </c:pt>
                <c:pt idx="1">
                  <c:v>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20-44EF-A88B-061B6C8048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28783056"/>
        <c:axId val="528783472"/>
      </c:barChart>
      <c:catAx>
        <c:axId val="528783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783472"/>
        <c:crosses val="autoZero"/>
        <c:auto val="1"/>
        <c:lblAlgn val="ctr"/>
        <c:lblOffset val="100"/>
        <c:noMultiLvlLbl val="0"/>
      </c:catAx>
      <c:valAx>
        <c:axId val="528783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783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% Resource Utilization with Kintex 7 T160 Target FPGA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'Resource Utilization'!$F$9</c:f>
              <c:strCache>
                <c:ptCount val="1"/>
                <c:pt idx="0">
                  <c:v>Original Scheme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'Resource Utilization'!$E$10:$E$11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'Resource Utilization'!$F$10:$F$11</c:f>
              <c:numCache>
                <c:formatCode>0.00%</c:formatCode>
                <c:ptCount val="2"/>
                <c:pt idx="0">
                  <c:v>1.9E-3</c:v>
                </c:pt>
                <c:pt idx="1">
                  <c:v>1.6999999999999999E-3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6B-43E0-BFB0-574899BE9021}"/>
            </c:ext>
          </c:extLst>
        </c:ser>
        <c:ser>
          <c:idx val="1"/>
          <c:order val="1"/>
          <c:tx>
            <c:strRef>
              <c:f>'Resource Utilization'!$G$9</c:f>
              <c:strCache>
                <c:ptCount val="1"/>
                <c:pt idx="0">
                  <c:v>HS6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'Resource Utilization'!$E$10:$E$11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'Resource Utilization'!$G$10:$G$11</c:f>
              <c:numCache>
                <c:formatCode>0.00%</c:formatCode>
                <c:ptCount val="2"/>
                <c:pt idx="0">
                  <c:v>7.1000000000000004E-3</c:v>
                </c:pt>
                <c:pt idx="1">
                  <c:v>2.7000000000000001E-3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6B-43E0-BFB0-574899BE90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476575520"/>
        <c:axId val="476587168"/>
      </c:barChart>
      <c:catAx>
        <c:axId val="476575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587168"/>
        <c:crosses val="autoZero"/>
        <c:auto val="1"/>
        <c:lblAlgn val="ctr"/>
        <c:lblOffset val="100"/>
        <c:noMultiLvlLbl val="0"/>
      </c:catAx>
      <c:valAx>
        <c:axId val="476587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575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Resync Stats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'parallel vs header-seeker-6'!$C$1</c:f>
              <c:strCache>
                <c:ptCount val="1"/>
                <c:pt idx="0">
                  <c:v>FP</c:v>
                </c:pt>
              </c:strCache>
            </c:strRef>
          </c:tx>
          <c:spPr>
            <a:solidFill>
              <a:srgbClr val="EF6C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'parallel vs header-seeker-6'!$J$68</c:f>
              <c:strCache>
                <c:ptCount val="1"/>
                <c:pt idx="0">
                  <c:v>HS1</c:v>
                </c:pt>
              </c:strCache>
            </c:strRef>
          </c:cat>
          <c:val>
            <c:numRef>
              <c:f>'parallel vs header-seeker-6'!$C$67</c:f>
              <c:numCache>
                <c:formatCode>General</c:formatCode>
                <c:ptCount val="1"/>
                <c:pt idx="0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4B-44CF-ACE5-BA2C9158D192}"/>
            </c:ext>
          </c:extLst>
        </c:ser>
        <c:ser>
          <c:idx val="3"/>
          <c:order val="1"/>
          <c:tx>
            <c:strRef>
              <c:f>'parallel vs header-seeker-6'!$D$68</c:f>
              <c:strCache>
                <c:ptCount val="1"/>
                <c:pt idx="0">
                  <c:v>HS33</c:v>
                </c:pt>
              </c:strCache>
            </c:strRef>
          </c:tx>
          <c:spPr>
            <a:solidFill>
              <a:srgbClr val="AC135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'parallel vs header-seeker-6'!$D$67</c:f>
              <c:numCache>
                <c:formatCode>General</c:formatCode>
                <c:ptCount val="1"/>
                <c:pt idx="0">
                  <c:v>27.25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7D-46A0-9834-A5AD4D1E422A}"/>
            </c:ext>
          </c:extLst>
        </c:ser>
        <c:ser>
          <c:idx val="4"/>
          <c:order val="2"/>
          <c:tx>
            <c:strRef>
              <c:f>'parallel vs header-seeker-6'!$E$68</c:f>
              <c:strCache>
                <c:ptCount val="1"/>
                <c:pt idx="0">
                  <c:v>HS22</c:v>
                </c:pt>
              </c:strCache>
            </c:strRef>
          </c:tx>
          <c:spPr>
            <a:solidFill>
              <a:srgbClr val="6A1B9A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'parallel vs header-seeker-6'!$E$67</c:f>
              <c:numCache>
                <c:formatCode>General</c:formatCode>
                <c:ptCount val="1"/>
                <c:pt idx="0">
                  <c:v>27.25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27D-46A0-9834-A5AD4D1E422A}"/>
            </c:ext>
          </c:extLst>
        </c:ser>
        <c:ser>
          <c:idx val="5"/>
          <c:order val="3"/>
          <c:tx>
            <c:strRef>
              <c:f>'parallel vs header-seeker-6'!$F$68</c:f>
              <c:strCache>
                <c:ptCount val="1"/>
                <c:pt idx="0">
                  <c:v>HS11</c:v>
                </c:pt>
              </c:strCache>
            </c:strRef>
          </c:tx>
          <c:spPr>
            <a:solidFill>
              <a:srgbClr val="27369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'parallel vs header-seeker-6'!$F$67</c:f>
              <c:numCache>
                <c:formatCode>General</c:formatCode>
                <c:ptCount val="1"/>
                <c:pt idx="0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27D-46A0-9834-A5AD4D1E422A}"/>
            </c:ext>
          </c:extLst>
        </c:ser>
        <c:ser>
          <c:idx val="0"/>
          <c:order val="4"/>
          <c:tx>
            <c:strRef>
              <c:f>'parallel vs header-seeker-6'!$G$68</c:f>
              <c:strCache>
                <c:ptCount val="1"/>
                <c:pt idx="0">
                  <c:v>HS6</c:v>
                </c:pt>
              </c:strCache>
            </c:strRef>
          </c:tx>
          <c:spPr>
            <a:solidFill>
              <a:srgbClr val="4CB6A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'parallel vs header-seeker-6'!$G$67</c:f>
              <c:numCache>
                <c:formatCode>General</c:formatCode>
                <c:ptCount val="1"/>
                <c:pt idx="0">
                  <c:v>29.25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27D-46A0-9834-A5AD4D1E422A}"/>
            </c:ext>
          </c:extLst>
        </c:ser>
        <c:ser>
          <c:idx val="2"/>
          <c:order val="5"/>
          <c:tx>
            <c:strRef>
              <c:f>'parallel vs header-seeker-6'!$H$68</c:f>
              <c:strCache>
                <c:ptCount val="1"/>
                <c:pt idx="0">
                  <c:v>HS3</c:v>
                </c:pt>
              </c:strCache>
            </c:strRef>
          </c:tx>
          <c:spPr>
            <a:solidFill>
              <a:srgbClr val="FE72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'parallel vs header-seeker-6'!$H$67</c:f>
              <c:numCache>
                <c:formatCode>General</c:formatCode>
                <c:ptCount val="1"/>
                <c:pt idx="0">
                  <c:v>33.75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27D-46A0-9834-A5AD4D1E422A}"/>
            </c:ext>
          </c:extLst>
        </c:ser>
        <c:ser>
          <c:idx val="6"/>
          <c:order val="6"/>
          <c:tx>
            <c:strRef>
              <c:f>'parallel vs header-seeker-6'!$I$68</c:f>
              <c:strCache>
                <c:ptCount val="1"/>
                <c:pt idx="0">
                  <c:v>HS2</c:v>
                </c:pt>
              </c:strCache>
            </c:strRef>
          </c:tx>
          <c:spPr>
            <a:solidFill>
              <a:srgbClr val="1C88E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'parallel vs header-seeker-6'!$I$67</c:f>
              <c:numCache>
                <c:formatCode>General</c:formatCode>
                <c:ptCount val="1"/>
                <c:pt idx="0">
                  <c:v>38.75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27D-46A0-9834-A5AD4D1E422A}"/>
            </c:ext>
          </c:extLst>
        </c:ser>
        <c:ser>
          <c:idx val="7"/>
          <c:order val="7"/>
          <c:tx>
            <c:strRef>
              <c:f>'parallel vs header-seeker-6'!$J$68</c:f>
              <c:strCache>
                <c:ptCount val="1"/>
                <c:pt idx="0">
                  <c:v>HS1</c:v>
                </c:pt>
              </c:strCache>
            </c:strRef>
          </c:tx>
          <c:spPr>
            <a:solidFill>
              <a:srgbClr val="42424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'parallel vs header-seeker-6'!$J$67</c:f>
              <c:numCache>
                <c:formatCode>General</c:formatCode>
                <c:ptCount val="1"/>
                <c:pt idx="0">
                  <c:v>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27D-46A0-9834-A5AD4D1E422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340748719"/>
        <c:axId val="1340756623"/>
      </c:barChart>
      <c:catAx>
        <c:axId val="1340748719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340756623"/>
        <c:crosses val="autoZero"/>
        <c:auto val="1"/>
        <c:lblAlgn val="ctr"/>
        <c:lblOffset val="100"/>
        <c:noMultiLvlLbl val="0"/>
      </c:catAx>
      <c:valAx>
        <c:axId val="1340756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07487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Blocks Lost During Resync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'parallel vs header-seeker-6'!$C$1</c:f>
              <c:strCache>
                <c:ptCount val="1"/>
                <c:pt idx="0">
                  <c:v>FP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EF6C00"/>
              </a:solidFill>
              <a:ln w="9525">
                <a:noFill/>
                <a:round/>
              </a:ln>
              <a:effectLst/>
            </c:spPr>
          </c:marker>
          <c:xVal>
            <c:numRef>
              <c:f>'parallel vs header-seeker-6'!$A$2:$A$66</c:f>
              <c:numCache>
                <c:formatCode>General</c:formatCode>
                <c:ptCount val="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</c:numCache>
              <c:extLst xmlns:c15="http://schemas.microsoft.com/office/drawing/2012/chart"/>
            </c:numRef>
          </c:xVal>
          <c:yVal>
            <c:numRef>
              <c:f>'parallel vs header-seeker-6'!$C$2:$C$67</c:f>
              <c:numCache>
                <c:formatCode>General</c:formatCode>
                <c:ptCount val="66"/>
                <c:pt idx="0">
                  <c:v>26</c:v>
                </c:pt>
                <c:pt idx="1">
                  <c:v>26</c:v>
                </c:pt>
                <c:pt idx="2">
                  <c:v>26</c:v>
                </c:pt>
                <c:pt idx="3">
                  <c:v>26</c:v>
                </c:pt>
                <c:pt idx="4">
                  <c:v>27</c:v>
                </c:pt>
                <c:pt idx="5">
                  <c:v>26</c:v>
                </c:pt>
                <c:pt idx="6">
                  <c:v>26</c:v>
                </c:pt>
                <c:pt idx="7">
                  <c:v>26</c:v>
                </c:pt>
                <c:pt idx="8">
                  <c:v>26</c:v>
                </c:pt>
                <c:pt idx="9">
                  <c:v>26</c:v>
                </c:pt>
                <c:pt idx="10">
                  <c:v>26</c:v>
                </c:pt>
                <c:pt idx="11">
                  <c:v>26</c:v>
                </c:pt>
                <c:pt idx="12">
                  <c:v>26</c:v>
                </c:pt>
                <c:pt idx="13">
                  <c:v>26</c:v>
                </c:pt>
                <c:pt idx="14">
                  <c:v>26</c:v>
                </c:pt>
                <c:pt idx="15">
                  <c:v>25</c:v>
                </c:pt>
                <c:pt idx="16">
                  <c:v>26</c:v>
                </c:pt>
                <c:pt idx="17">
                  <c:v>26</c:v>
                </c:pt>
                <c:pt idx="18">
                  <c:v>26</c:v>
                </c:pt>
                <c:pt idx="19">
                  <c:v>26</c:v>
                </c:pt>
                <c:pt idx="20">
                  <c:v>26</c:v>
                </c:pt>
                <c:pt idx="21">
                  <c:v>26</c:v>
                </c:pt>
                <c:pt idx="22">
                  <c:v>26</c:v>
                </c:pt>
                <c:pt idx="23">
                  <c:v>26</c:v>
                </c:pt>
                <c:pt idx="24">
                  <c:v>26</c:v>
                </c:pt>
                <c:pt idx="25">
                  <c:v>25</c:v>
                </c:pt>
                <c:pt idx="26">
                  <c:v>26</c:v>
                </c:pt>
                <c:pt idx="27">
                  <c:v>25</c:v>
                </c:pt>
                <c:pt idx="28">
                  <c:v>26</c:v>
                </c:pt>
                <c:pt idx="29">
                  <c:v>26</c:v>
                </c:pt>
                <c:pt idx="30">
                  <c:v>26</c:v>
                </c:pt>
                <c:pt idx="31">
                  <c:v>26</c:v>
                </c:pt>
                <c:pt idx="32">
                  <c:v>26</c:v>
                </c:pt>
                <c:pt idx="33">
                  <c:v>26</c:v>
                </c:pt>
                <c:pt idx="34">
                  <c:v>26</c:v>
                </c:pt>
                <c:pt idx="35">
                  <c:v>26</c:v>
                </c:pt>
                <c:pt idx="36">
                  <c:v>26</c:v>
                </c:pt>
                <c:pt idx="37">
                  <c:v>26</c:v>
                </c:pt>
                <c:pt idx="38">
                  <c:v>26</c:v>
                </c:pt>
                <c:pt idx="39">
                  <c:v>25</c:v>
                </c:pt>
                <c:pt idx="40">
                  <c:v>26</c:v>
                </c:pt>
                <c:pt idx="41">
                  <c:v>26</c:v>
                </c:pt>
                <c:pt idx="42">
                  <c:v>26</c:v>
                </c:pt>
                <c:pt idx="43">
                  <c:v>26</c:v>
                </c:pt>
                <c:pt idx="44">
                  <c:v>26</c:v>
                </c:pt>
                <c:pt idx="45">
                  <c:v>26</c:v>
                </c:pt>
                <c:pt idx="46">
                  <c:v>26</c:v>
                </c:pt>
                <c:pt idx="47">
                  <c:v>26</c:v>
                </c:pt>
                <c:pt idx="48">
                  <c:v>27</c:v>
                </c:pt>
                <c:pt idx="49">
                  <c:v>26</c:v>
                </c:pt>
                <c:pt idx="50">
                  <c:v>26</c:v>
                </c:pt>
                <c:pt idx="51">
                  <c:v>26</c:v>
                </c:pt>
                <c:pt idx="52">
                  <c:v>26</c:v>
                </c:pt>
                <c:pt idx="53">
                  <c:v>26</c:v>
                </c:pt>
                <c:pt idx="54">
                  <c:v>27</c:v>
                </c:pt>
                <c:pt idx="55">
                  <c:v>26</c:v>
                </c:pt>
                <c:pt idx="56">
                  <c:v>26</c:v>
                </c:pt>
                <c:pt idx="57">
                  <c:v>26</c:v>
                </c:pt>
                <c:pt idx="58">
                  <c:v>26</c:v>
                </c:pt>
                <c:pt idx="59">
                  <c:v>26</c:v>
                </c:pt>
                <c:pt idx="60">
                  <c:v>26</c:v>
                </c:pt>
                <c:pt idx="61">
                  <c:v>26</c:v>
                </c:pt>
                <c:pt idx="62">
                  <c:v>26</c:v>
                </c:pt>
                <c:pt idx="63">
                  <c:v>26</c:v>
                </c:pt>
                <c:pt idx="64">
                  <c:v>26</c:v>
                </c:pt>
                <c:pt idx="65">
                  <c:v>26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E58B-40B8-B95E-5C5A9386D6ED}"/>
            </c:ext>
          </c:extLst>
        </c:ser>
        <c:ser>
          <c:idx val="5"/>
          <c:order val="1"/>
          <c:tx>
            <c:strRef>
              <c:f>'parallel vs header-seeker-6'!$D$1</c:f>
              <c:strCache>
                <c:ptCount val="1"/>
                <c:pt idx="0">
                  <c:v>HS33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AC1356"/>
              </a:solidFill>
              <a:ln w="9525">
                <a:noFill/>
                <a:round/>
              </a:ln>
              <a:effectLst/>
            </c:spPr>
          </c:marker>
          <c:xVal>
            <c:numRef>
              <c:f>'parallel vs header-seeker-6'!$A$2:$A$66</c:f>
              <c:numCache>
                <c:formatCode>General</c:formatCode>
                <c:ptCount val="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</c:numCache>
            </c:numRef>
          </c:xVal>
          <c:yVal>
            <c:numRef>
              <c:f>'parallel vs header-seeker-6'!$D$2:$D$66</c:f>
              <c:numCache>
                <c:formatCode>General</c:formatCode>
                <c:ptCount val="65"/>
                <c:pt idx="0">
                  <c:v>26</c:v>
                </c:pt>
                <c:pt idx="1">
                  <c:v>26</c:v>
                </c:pt>
                <c:pt idx="2">
                  <c:v>27</c:v>
                </c:pt>
                <c:pt idx="3">
                  <c:v>27</c:v>
                </c:pt>
                <c:pt idx="4">
                  <c:v>27</c:v>
                </c:pt>
                <c:pt idx="5">
                  <c:v>27</c:v>
                </c:pt>
                <c:pt idx="6">
                  <c:v>27</c:v>
                </c:pt>
                <c:pt idx="7">
                  <c:v>27</c:v>
                </c:pt>
                <c:pt idx="8">
                  <c:v>26</c:v>
                </c:pt>
                <c:pt idx="9">
                  <c:v>27</c:v>
                </c:pt>
                <c:pt idx="10">
                  <c:v>26</c:v>
                </c:pt>
                <c:pt idx="11">
                  <c:v>27</c:v>
                </c:pt>
                <c:pt idx="12">
                  <c:v>27</c:v>
                </c:pt>
                <c:pt idx="13">
                  <c:v>28</c:v>
                </c:pt>
                <c:pt idx="14">
                  <c:v>27</c:v>
                </c:pt>
                <c:pt idx="15">
                  <c:v>27</c:v>
                </c:pt>
                <c:pt idx="16">
                  <c:v>28</c:v>
                </c:pt>
                <c:pt idx="17">
                  <c:v>28</c:v>
                </c:pt>
                <c:pt idx="18">
                  <c:v>28</c:v>
                </c:pt>
                <c:pt idx="19">
                  <c:v>27</c:v>
                </c:pt>
                <c:pt idx="20">
                  <c:v>27</c:v>
                </c:pt>
                <c:pt idx="21">
                  <c:v>27</c:v>
                </c:pt>
                <c:pt idx="22">
                  <c:v>27</c:v>
                </c:pt>
                <c:pt idx="23">
                  <c:v>27</c:v>
                </c:pt>
                <c:pt idx="24">
                  <c:v>27</c:v>
                </c:pt>
                <c:pt idx="25">
                  <c:v>27</c:v>
                </c:pt>
                <c:pt idx="26">
                  <c:v>27</c:v>
                </c:pt>
                <c:pt idx="27">
                  <c:v>27</c:v>
                </c:pt>
                <c:pt idx="28">
                  <c:v>27</c:v>
                </c:pt>
                <c:pt idx="29">
                  <c:v>27</c:v>
                </c:pt>
                <c:pt idx="30">
                  <c:v>27</c:v>
                </c:pt>
                <c:pt idx="31">
                  <c:v>27</c:v>
                </c:pt>
                <c:pt idx="32">
                  <c:v>28</c:v>
                </c:pt>
                <c:pt idx="33">
                  <c:v>27</c:v>
                </c:pt>
                <c:pt idx="34">
                  <c:v>28</c:v>
                </c:pt>
                <c:pt idx="35">
                  <c:v>27</c:v>
                </c:pt>
                <c:pt idx="36">
                  <c:v>27</c:v>
                </c:pt>
                <c:pt idx="37">
                  <c:v>28</c:v>
                </c:pt>
                <c:pt idx="38">
                  <c:v>27</c:v>
                </c:pt>
                <c:pt idx="39">
                  <c:v>27</c:v>
                </c:pt>
                <c:pt idx="40">
                  <c:v>27</c:v>
                </c:pt>
                <c:pt idx="41">
                  <c:v>27</c:v>
                </c:pt>
                <c:pt idx="42">
                  <c:v>27</c:v>
                </c:pt>
                <c:pt idx="43">
                  <c:v>27</c:v>
                </c:pt>
                <c:pt idx="44">
                  <c:v>26</c:v>
                </c:pt>
                <c:pt idx="45">
                  <c:v>27</c:v>
                </c:pt>
                <c:pt idx="46">
                  <c:v>27</c:v>
                </c:pt>
                <c:pt idx="47">
                  <c:v>28</c:v>
                </c:pt>
                <c:pt idx="48">
                  <c:v>27</c:v>
                </c:pt>
                <c:pt idx="49">
                  <c:v>27</c:v>
                </c:pt>
                <c:pt idx="50">
                  <c:v>27</c:v>
                </c:pt>
                <c:pt idx="51">
                  <c:v>27</c:v>
                </c:pt>
                <c:pt idx="52">
                  <c:v>27</c:v>
                </c:pt>
                <c:pt idx="53">
                  <c:v>27</c:v>
                </c:pt>
                <c:pt idx="54">
                  <c:v>27</c:v>
                </c:pt>
                <c:pt idx="55">
                  <c:v>27</c:v>
                </c:pt>
                <c:pt idx="56">
                  <c:v>27</c:v>
                </c:pt>
                <c:pt idx="57">
                  <c:v>28</c:v>
                </c:pt>
                <c:pt idx="58">
                  <c:v>27</c:v>
                </c:pt>
                <c:pt idx="59">
                  <c:v>27</c:v>
                </c:pt>
                <c:pt idx="60">
                  <c:v>28</c:v>
                </c:pt>
                <c:pt idx="61">
                  <c:v>28</c:v>
                </c:pt>
                <c:pt idx="62">
                  <c:v>28</c:v>
                </c:pt>
                <c:pt idx="63">
                  <c:v>28</c:v>
                </c:pt>
                <c:pt idx="64">
                  <c:v>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C33-4C73-8CBB-35E4808CBE21}"/>
            </c:ext>
          </c:extLst>
        </c:ser>
        <c:ser>
          <c:idx val="6"/>
          <c:order val="2"/>
          <c:tx>
            <c:strRef>
              <c:f>'parallel vs header-seeker-6'!$E$1</c:f>
              <c:strCache>
                <c:ptCount val="1"/>
                <c:pt idx="0">
                  <c:v>HS22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6A1B9A"/>
              </a:solidFill>
              <a:ln w="9525">
                <a:noFill/>
                <a:round/>
              </a:ln>
              <a:effectLst/>
            </c:spPr>
          </c:marker>
          <c:xVal>
            <c:numRef>
              <c:f>'parallel vs header-seeker-6'!$A$2:$A$66</c:f>
              <c:numCache>
                <c:formatCode>General</c:formatCode>
                <c:ptCount val="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</c:numCache>
            </c:numRef>
          </c:xVal>
          <c:yVal>
            <c:numRef>
              <c:f>'parallel vs header-seeker-6'!$E$2:$E$66</c:f>
              <c:numCache>
                <c:formatCode>General</c:formatCode>
                <c:ptCount val="65"/>
                <c:pt idx="0">
                  <c:v>26</c:v>
                </c:pt>
                <c:pt idx="1">
                  <c:v>26</c:v>
                </c:pt>
                <c:pt idx="2">
                  <c:v>27</c:v>
                </c:pt>
                <c:pt idx="3">
                  <c:v>27</c:v>
                </c:pt>
                <c:pt idx="4">
                  <c:v>27</c:v>
                </c:pt>
                <c:pt idx="5">
                  <c:v>27</c:v>
                </c:pt>
                <c:pt idx="6">
                  <c:v>27</c:v>
                </c:pt>
                <c:pt idx="7">
                  <c:v>27</c:v>
                </c:pt>
                <c:pt idx="8">
                  <c:v>27</c:v>
                </c:pt>
                <c:pt idx="9">
                  <c:v>27</c:v>
                </c:pt>
                <c:pt idx="10">
                  <c:v>27</c:v>
                </c:pt>
                <c:pt idx="11">
                  <c:v>27</c:v>
                </c:pt>
                <c:pt idx="12">
                  <c:v>28</c:v>
                </c:pt>
                <c:pt idx="13">
                  <c:v>27</c:v>
                </c:pt>
                <c:pt idx="14">
                  <c:v>27</c:v>
                </c:pt>
                <c:pt idx="15">
                  <c:v>26</c:v>
                </c:pt>
                <c:pt idx="16">
                  <c:v>27</c:v>
                </c:pt>
                <c:pt idx="17">
                  <c:v>27</c:v>
                </c:pt>
                <c:pt idx="18">
                  <c:v>28</c:v>
                </c:pt>
                <c:pt idx="19">
                  <c:v>27</c:v>
                </c:pt>
                <c:pt idx="20">
                  <c:v>27</c:v>
                </c:pt>
                <c:pt idx="21">
                  <c:v>26</c:v>
                </c:pt>
                <c:pt idx="22">
                  <c:v>27</c:v>
                </c:pt>
                <c:pt idx="23">
                  <c:v>27</c:v>
                </c:pt>
                <c:pt idx="24">
                  <c:v>27</c:v>
                </c:pt>
                <c:pt idx="25">
                  <c:v>27</c:v>
                </c:pt>
                <c:pt idx="26">
                  <c:v>26</c:v>
                </c:pt>
                <c:pt idx="27">
                  <c:v>26</c:v>
                </c:pt>
                <c:pt idx="28">
                  <c:v>27</c:v>
                </c:pt>
                <c:pt idx="29">
                  <c:v>27</c:v>
                </c:pt>
                <c:pt idx="30">
                  <c:v>27</c:v>
                </c:pt>
                <c:pt idx="31">
                  <c:v>27</c:v>
                </c:pt>
                <c:pt idx="32">
                  <c:v>26</c:v>
                </c:pt>
                <c:pt idx="33">
                  <c:v>27</c:v>
                </c:pt>
                <c:pt idx="34">
                  <c:v>27</c:v>
                </c:pt>
                <c:pt idx="35">
                  <c:v>27</c:v>
                </c:pt>
                <c:pt idx="36">
                  <c:v>27</c:v>
                </c:pt>
                <c:pt idx="37">
                  <c:v>27</c:v>
                </c:pt>
                <c:pt idx="38">
                  <c:v>27</c:v>
                </c:pt>
                <c:pt idx="39">
                  <c:v>27</c:v>
                </c:pt>
                <c:pt idx="40">
                  <c:v>27</c:v>
                </c:pt>
                <c:pt idx="41">
                  <c:v>27</c:v>
                </c:pt>
                <c:pt idx="42">
                  <c:v>27</c:v>
                </c:pt>
                <c:pt idx="43">
                  <c:v>29</c:v>
                </c:pt>
                <c:pt idx="44">
                  <c:v>28</c:v>
                </c:pt>
                <c:pt idx="45">
                  <c:v>27</c:v>
                </c:pt>
                <c:pt idx="46">
                  <c:v>27</c:v>
                </c:pt>
                <c:pt idx="47">
                  <c:v>27</c:v>
                </c:pt>
                <c:pt idx="48">
                  <c:v>27</c:v>
                </c:pt>
                <c:pt idx="49">
                  <c:v>27</c:v>
                </c:pt>
                <c:pt idx="50">
                  <c:v>28</c:v>
                </c:pt>
                <c:pt idx="51">
                  <c:v>27</c:v>
                </c:pt>
                <c:pt idx="52">
                  <c:v>27</c:v>
                </c:pt>
                <c:pt idx="53">
                  <c:v>26</c:v>
                </c:pt>
                <c:pt idx="54">
                  <c:v>27</c:v>
                </c:pt>
                <c:pt idx="55">
                  <c:v>28</c:v>
                </c:pt>
                <c:pt idx="56">
                  <c:v>28</c:v>
                </c:pt>
                <c:pt idx="57">
                  <c:v>27</c:v>
                </c:pt>
                <c:pt idx="58">
                  <c:v>27</c:v>
                </c:pt>
                <c:pt idx="59">
                  <c:v>27</c:v>
                </c:pt>
                <c:pt idx="60">
                  <c:v>28</c:v>
                </c:pt>
                <c:pt idx="61">
                  <c:v>28</c:v>
                </c:pt>
                <c:pt idx="62">
                  <c:v>28</c:v>
                </c:pt>
                <c:pt idx="63">
                  <c:v>27</c:v>
                </c:pt>
                <c:pt idx="64">
                  <c:v>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C33-4C73-8CBB-35E4808CBE21}"/>
            </c:ext>
          </c:extLst>
        </c:ser>
        <c:ser>
          <c:idx val="7"/>
          <c:order val="3"/>
          <c:tx>
            <c:strRef>
              <c:f>'parallel vs header-seeker-6'!$F$1</c:f>
              <c:strCache>
                <c:ptCount val="1"/>
                <c:pt idx="0">
                  <c:v>HS11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273693"/>
              </a:solidFill>
              <a:ln w="9525">
                <a:noFill/>
                <a:round/>
              </a:ln>
              <a:effectLst/>
            </c:spPr>
          </c:marker>
          <c:xVal>
            <c:numRef>
              <c:f>'parallel vs header-seeker-6'!$A$2:$A$66</c:f>
              <c:numCache>
                <c:formatCode>General</c:formatCode>
                <c:ptCount val="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</c:numCache>
            </c:numRef>
          </c:xVal>
          <c:yVal>
            <c:numRef>
              <c:f>'parallel vs header-seeker-6'!$F$2:$F$66</c:f>
              <c:numCache>
                <c:formatCode>General</c:formatCode>
                <c:ptCount val="65"/>
                <c:pt idx="0">
                  <c:v>28</c:v>
                </c:pt>
                <c:pt idx="1">
                  <c:v>28</c:v>
                </c:pt>
                <c:pt idx="2">
                  <c:v>28</c:v>
                </c:pt>
                <c:pt idx="3">
                  <c:v>28</c:v>
                </c:pt>
                <c:pt idx="4">
                  <c:v>28</c:v>
                </c:pt>
                <c:pt idx="5">
                  <c:v>28</c:v>
                </c:pt>
                <c:pt idx="6">
                  <c:v>28</c:v>
                </c:pt>
                <c:pt idx="7">
                  <c:v>28</c:v>
                </c:pt>
                <c:pt idx="8">
                  <c:v>27</c:v>
                </c:pt>
                <c:pt idx="9">
                  <c:v>28</c:v>
                </c:pt>
                <c:pt idx="10">
                  <c:v>26</c:v>
                </c:pt>
                <c:pt idx="11">
                  <c:v>28</c:v>
                </c:pt>
                <c:pt idx="12">
                  <c:v>28</c:v>
                </c:pt>
                <c:pt idx="13">
                  <c:v>28</c:v>
                </c:pt>
                <c:pt idx="14">
                  <c:v>28</c:v>
                </c:pt>
                <c:pt idx="15">
                  <c:v>29</c:v>
                </c:pt>
                <c:pt idx="16">
                  <c:v>27</c:v>
                </c:pt>
                <c:pt idx="17">
                  <c:v>28</c:v>
                </c:pt>
                <c:pt idx="18">
                  <c:v>27</c:v>
                </c:pt>
                <c:pt idx="19">
                  <c:v>28</c:v>
                </c:pt>
                <c:pt idx="20">
                  <c:v>28</c:v>
                </c:pt>
                <c:pt idx="21">
                  <c:v>27</c:v>
                </c:pt>
                <c:pt idx="22">
                  <c:v>28</c:v>
                </c:pt>
                <c:pt idx="23">
                  <c:v>28</c:v>
                </c:pt>
                <c:pt idx="24">
                  <c:v>29</c:v>
                </c:pt>
                <c:pt idx="25">
                  <c:v>28</c:v>
                </c:pt>
                <c:pt idx="26">
                  <c:v>27</c:v>
                </c:pt>
                <c:pt idx="27">
                  <c:v>27</c:v>
                </c:pt>
                <c:pt idx="28">
                  <c:v>27</c:v>
                </c:pt>
                <c:pt idx="29">
                  <c:v>28</c:v>
                </c:pt>
                <c:pt idx="30">
                  <c:v>28</c:v>
                </c:pt>
                <c:pt idx="31">
                  <c:v>28</c:v>
                </c:pt>
                <c:pt idx="32">
                  <c:v>29</c:v>
                </c:pt>
                <c:pt idx="33">
                  <c:v>28</c:v>
                </c:pt>
                <c:pt idx="34">
                  <c:v>28</c:v>
                </c:pt>
                <c:pt idx="35">
                  <c:v>28</c:v>
                </c:pt>
                <c:pt idx="36">
                  <c:v>27</c:v>
                </c:pt>
                <c:pt idx="37">
                  <c:v>28</c:v>
                </c:pt>
                <c:pt idx="38">
                  <c:v>28</c:v>
                </c:pt>
                <c:pt idx="39">
                  <c:v>28</c:v>
                </c:pt>
                <c:pt idx="40">
                  <c:v>28</c:v>
                </c:pt>
                <c:pt idx="41">
                  <c:v>27</c:v>
                </c:pt>
                <c:pt idx="42">
                  <c:v>28</c:v>
                </c:pt>
                <c:pt idx="43">
                  <c:v>30</c:v>
                </c:pt>
                <c:pt idx="44">
                  <c:v>27</c:v>
                </c:pt>
                <c:pt idx="45">
                  <c:v>29</c:v>
                </c:pt>
                <c:pt idx="46">
                  <c:v>28</c:v>
                </c:pt>
                <c:pt idx="47">
                  <c:v>28</c:v>
                </c:pt>
                <c:pt idx="48">
                  <c:v>28</c:v>
                </c:pt>
                <c:pt idx="49">
                  <c:v>27</c:v>
                </c:pt>
                <c:pt idx="50">
                  <c:v>28</c:v>
                </c:pt>
                <c:pt idx="51">
                  <c:v>28</c:v>
                </c:pt>
                <c:pt idx="52">
                  <c:v>28</c:v>
                </c:pt>
                <c:pt idx="53">
                  <c:v>28</c:v>
                </c:pt>
                <c:pt idx="54">
                  <c:v>31</c:v>
                </c:pt>
                <c:pt idx="55">
                  <c:v>28</c:v>
                </c:pt>
                <c:pt idx="56">
                  <c:v>27</c:v>
                </c:pt>
                <c:pt idx="57">
                  <c:v>29</c:v>
                </c:pt>
                <c:pt idx="58">
                  <c:v>28</c:v>
                </c:pt>
                <c:pt idx="59">
                  <c:v>29</c:v>
                </c:pt>
                <c:pt idx="60">
                  <c:v>29</c:v>
                </c:pt>
                <c:pt idx="61">
                  <c:v>29</c:v>
                </c:pt>
                <c:pt idx="62">
                  <c:v>28</c:v>
                </c:pt>
                <c:pt idx="63">
                  <c:v>28</c:v>
                </c:pt>
                <c:pt idx="64">
                  <c:v>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C33-4C73-8CBB-35E4808CBE21}"/>
            </c:ext>
          </c:extLst>
        </c:ser>
        <c:ser>
          <c:idx val="0"/>
          <c:order val="4"/>
          <c:tx>
            <c:strRef>
              <c:f>'parallel vs header-seeker-6'!$G$1</c:f>
              <c:strCache>
                <c:ptCount val="1"/>
                <c:pt idx="0">
                  <c:v>HS6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4CB6AC"/>
              </a:solidFill>
              <a:ln w="9525">
                <a:noFill/>
                <a:round/>
              </a:ln>
              <a:effectLst/>
            </c:spPr>
          </c:marker>
          <c:xVal>
            <c:numRef>
              <c:f>'parallel vs header-seeker-6'!$A$2:$A$66</c:f>
              <c:numCache>
                <c:formatCode>General</c:formatCode>
                <c:ptCount val="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</c:numCache>
              <c:extLst xmlns:c15="http://schemas.microsoft.com/office/drawing/2012/chart"/>
            </c:numRef>
          </c:xVal>
          <c:yVal>
            <c:numRef>
              <c:f>'parallel vs header-seeker-6'!$G$2:$G$67</c:f>
              <c:numCache>
                <c:formatCode>General</c:formatCode>
                <c:ptCount val="66"/>
                <c:pt idx="0">
                  <c:v>28</c:v>
                </c:pt>
                <c:pt idx="1">
                  <c:v>29</c:v>
                </c:pt>
                <c:pt idx="2">
                  <c:v>28</c:v>
                </c:pt>
                <c:pt idx="3">
                  <c:v>30</c:v>
                </c:pt>
                <c:pt idx="4">
                  <c:v>29</c:v>
                </c:pt>
                <c:pt idx="5">
                  <c:v>24</c:v>
                </c:pt>
                <c:pt idx="6">
                  <c:v>30</c:v>
                </c:pt>
                <c:pt idx="7">
                  <c:v>29</c:v>
                </c:pt>
                <c:pt idx="8">
                  <c:v>29</c:v>
                </c:pt>
                <c:pt idx="9">
                  <c:v>29</c:v>
                </c:pt>
                <c:pt idx="10">
                  <c:v>30</c:v>
                </c:pt>
                <c:pt idx="11">
                  <c:v>26</c:v>
                </c:pt>
                <c:pt idx="12">
                  <c:v>29</c:v>
                </c:pt>
                <c:pt idx="13">
                  <c:v>29</c:v>
                </c:pt>
                <c:pt idx="14">
                  <c:v>28</c:v>
                </c:pt>
                <c:pt idx="15">
                  <c:v>29</c:v>
                </c:pt>
                <c:pt idx="16">
                  <c:v>30</c:v>
                </c:pt>
                <c:pt idx="17">
                  <c:v>28</c:v>
                </c:pt>
                <c:pt idx="18">
                  <c:v>29</c:v>
                </c:pt>
                <c:pt idx="19">
                  <c:v>28</c:v>
                </c:pt>
                <c:pt idx="20">
                  <c:v>29</c:v>
                </c:pt>
                <c:pt idx="21">
                  <c:v>29</c:v>
                </c:pt>
                <c:pt idx="22">
                  <c:v>30</c:v>
                </c:pt>
                <c:pt idx="23">
                  <c:v>29</c:v>
                </c:pt>
                <c:pt idx="24">
                  <c:v>29</c:v>
                </c:pt>
                <c:pt idx="25">
                  <c:v>28</c:v>
                </c:pt>
                <c:pt idx="26">
                  <c:v>28</c:v>
                </c:pt>
                <c:pt idx="27">
                  <c:v>28</c:v>
                </c:pt>
                <c:pt idx="28">
                  <c:v>29</c:v>
                </c:pt>
                <c:pt idx="29">
                  <c:v>29</c:v>
                </c:pt>
                <c:pt idx="30">
                  <c:v>29</c:v>
                </c:pt>
                <c:pt idx="31">
                  <c:v>29</c:v>
                </c:pt>
                <c:pt idx="32">
                  <c:v>28</c:v>
                </c:pt>
                <c:pt idx="33">
                  <c:v>30</c:v>
                </c:pt>
                <c:pt idx="34">
                  <c:v>29</c:v>
                </c:pt>
                <c:pt idx="35">
                  <c:v>31</c:v>
                </c:pt>
                <c:pt idx="36">
                  <c:v>30</c:v>
                </c:pt>
                <c:pt idx="37">
                  <c:v>29</c:v>
                </c:pt>
                <c:pt idx="38">
                  <c:v>28</c:v>
                </c:pt>
                <c:pt idx="39">
                  <c:v>29</c:v>
                </c:pt>
                <c:pt idx="40">
                  <c:v>29</c:v>
                </c:pt>
                <c:pt idx="41">
                  <c:v>33</c:v>
                </c:pt>
                <c:pt idx="42">
                  <c:v>29</c:v>
                </c:pt>
                <c:pt idx="43">
                  <c:v>29</c:v>
                </c:pt>
                <c:pt idx="44">
                  <c:v>29</c:v>
                </c:pt>
                <c:pt idx="45">
                  <c:v>29</c:v>
                </c:pt>
                <c:pt idx="46">
                  <c:v>29</c:v>
                </c:pt>
                <c:pt idx="47">
                  <c:v>32</c:v>
                </c:pt>
                <c:pt idx="48">
                  <c:v>29</c:v>
                </c:pt>
                <c:pt idx="49">
                  <c:v>29</c:v>
                </c:pt>
                <c:pt idx="50">
                  <c:v>29</c:v>
                </c:pt>
                <c:pt idx="51">
                  <c:v>30</c:v>
                </c:pt>
                <c:pt idx="52">
                  <c:v>30</c:v>
                </c:pt>
                <c:pt idx="53">
                  <c:v>33</c:v>
                </c:pt>
                <c:pt idx="54">
                  <c:v>29</c:v>
                </c:pt>
                <c:pt idx="55">
                  <c:v>29</c:v>
                </c:pt>
                <c:pt idx="56">
                  <c:v>28</c:v>
                </c:pt>
                <c:pt idx="57">
                  <c:v>29</c:v>
                </c:pt>
                <c:pt idx="58">
                  <c:v>30</c:v>
                </c:pt>
                <c:pt idx="59">
                  <c:v>35</c:v>
                </c:pt>
                <c:pt idx="60">
                  <c:v>30</c:v>
                </c:pt>
                <c:pt idx="61">
                  <c:v>29</c:v>
                </c:pt>
                <c:pt idx="62">
                  <c:v>30</c:v>
                </c:pt>
                <c:pt idx="63">
                  <c:v>30</c:v>
                </c:pt>
                <c:pt idx="64">
                  <c:v>29</c:v>
                </c:pt>
                <c:pt idx="65">
                  <c:v>29.25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E58B-40B8-B95E-5C5A9386D6ED}"/>
            </c:ext>
          </c:extLst>
        </c:ser>
        <c:ser>
          <c:idx val="2"/>
          <c:order val="5"/>
          <c:tx>
            <c:strRef>
              <c:f>'parallel vs header-seeker-6'!$H$1</c:f>
              <c:strCache>
                <c:ptCount val="1"/>
                <c:pt idx="0">
                  <c:v>HS3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E7272"/>
              </a:solidFill>
              <a:ln w="9525">
                <a:noFill/>
                <a:round/>
              </a:ln>
              <a:effectLst/>
            </c:spPr>
          </c:marker>
          <c:xVal>
            <c:numRef>
              <c:f>'parallel vs header-seeker-6'!$A$2:$A$66</c:f>
              <c:numCache>
                <c:formatCode>General</c:formatCode>
                <c:ptCount val="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</c:numCache>
              <c:extLst xmlns:c15="http://schemas.microsoft.com/office/drawing/2012/chart"/>
            </c:numRef>
          </c:xVal>
          <c:yVal>
            <c:numRef>
              <c:f>'parallel vs header-seeker-6'!$H$2:$H$62</c:f>
              <c:numCache>
                <c:formatCode>General</c:formatCode>
                <c:ptCount val="61"/>
                <c:pt idx="0">
                  <c:v>33</c:v>
                </c:pt>
                <c:pt idx="1">
                  <c:v>32</c:v>
                </c:pt>
                <c:pt idx="2">
                  <c:v>24</c:v>
                </c:pt>
                <c:pt idx="3">
                  <c:v>34</c:v>
                </c:pt>
                <c:pt idx="4">
                  <c:v>33</c:v>
                </c:pt>
                <c:pt idx="5">
                  <c:v>25</c:v>
                </c:pt>
                <c:pt idx="6">
                  <c:v>32</c:v>
                </c:pt>
                <c:pt idx="7">
                  <c:v>33</c:v>
                </c:pt>
                <c:pt idx="8">
                  <c:v>26</c:v>
                </c:pt>
                <c:pt idx="9">
                  <c:v>33</c:v>
                </c:pt>
                <c:pt idx="10">
                  <c:v>33</c:v>
                </c:pt>
                <c:pt idx="11">
                  <c:v>26</c:v>
                </c:pt>
                <c:pt idx="12">
                  <c:v>33</c:v>
                </c:pt>
                <c:pt idx="13">
                  <c:v>33</c:v>
                </c:pt>
                <c:pt idx="14">
                  <c:v>28</c:v>
                </c:pt>
                <c:pt idx="15">
                  <c:v>34</c:v>
                </c:pt>
                <c:pt idx="16">
                  <c:v>33</c:v>
                </c:pt>
                <c:pt idx="17">
                  <c:v>30</c:v>
                </c:pt>
                <c:pt idx="18">
                  <c:v>34</c:v>
                </c:pt>
                <c:pt idx="19">
                  <c:v>33</c:v>
                </c:pt>
                <c:pt idx="20">
                  <c:v>29</c:v>
                </c:pt>
                <c:pt idx="21">
                  <c:v>32</c:v>
                </c:pt>
                <c:pt idx="22">
                  <c:v>32</c:v>
                </c:pt>
                <c:pt idx="23">
                  <c:v>31</c:v>
                </c:pt>
                <c:pt idx="24">
                  <c:v>34</c:v>
                </c:pt>
                <c:pt idx="25">
                  <c:v>33</c:v>
                </c:pt>
                <c:pt idx="26">
                  <c:v>32</c:v>
                </c:pt>
                <c:pt idx="27">
                  <c:v>35</c:v>
                </c:pt>
                <c:pt idx="28">
                  <c:v>34</c:v>
                </c:pt>
                <c:pt idx="29">
                  <c:v>33</c:v>
                </c:pt>
                <c:pt idx="30">
                  <c:v>33</c:v>
                </c:pt>
                <c:pt idx="31">
                  <c:v>34</c:v>
                </c:pt>
                <c:pt idx="32">
                  <c:v>34</c:v>
                </c:pt>
                <c:pt idx="33">
                  <c:v>35</c:v>
                </c:pt>
                <c:pt idx="34">
                  <c:v>34</c:v>
                </c:pt>
                <c:pt idx="35">
                  <c:v>36</c:v>
                </c:pt>
                <c:pt idx="36">
                  <c:v>33</c:v>
                </c:pt>
                <c:pt idx="37">
                  <c:v>33</c:v>
                </c:pt>
                <c:pt idx="38">
                  <c:v>37</c:v>
                </c:pt>
                <c:pt idx="39">
                  <c:v>32</c:v>
                </c:pt>
                <c:pt idx="40">
                  <c:v>35</c:v>
                </c:pt>
                <c:pt idx="41">
                  <c:v>38</c:v>
                </c:pt>
                <c:pt idx="42">
                  <c:v>34</c:v>
                </c:pt>
                <c:pt idx="43">
                  <c:v>34</c:v>
                </c:pt>
                <c:pt idx="44">
                  <c:v>38</c:v>
                </c:pt>
                <c:pt idx="45">
                  <c:v>33</c:v>
                </c:pt>
                <c:pt idx="46">
                  <c:v>33</c:v>
                </c:pt>
                <c:pt idx="47">
                  <c:v>40</c:v>
                </c:pt>
                <c:pt idx="48">
                  <c:v>33</c:v>
                </c:pt>
                <c:pt idx="49">
                  <c:v>34</c:v>
                </c:pt>
                <c:pt idx="50">
                  <c:v>40</c:v>
                </c:pt>
                <c:pt idx="51">
                  <c:v>34</c:v>
                </c:pt>
                <c:pt idx="52">
                  <c:v>33</c:v>
                </c:pt>
                <c:pt idx="53">
                  <c:v>41</c:v>
                </c:pt>
                <c:pt idx="54">
                  <c:v>35</c:v>
                </c:pt>
                <c:pt idx="55">
                  <c:v>34</c:v>
                </c:pt>
                <c:pt idx="56">
                  <c:v>42</c:v>
                </c:pt>
                <c:pt idx="57">
                  <c:v>33</c:v>
                </c:pt>
                <c:pt idx="58">
                  <c:v>33</c:v>
                </c:pt>
                <c:pt idx="59">
                  <c:v>44</c:v>
                </c:pt>
                <c:pt idx="60">
                  <c:v>34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E58B-40B8-B95E-5C5A9386D6ED}"/>
            </c:ext>
          </c:extLst>
        </c:ser>
        <c:ser>
          <c:idx val="8"/>
          <c:order val="6"/>
          <c:tx>
            <c:strRef>
              <c:f>'parallel vs header-seeker-6'!$I$1</c:f>
              <c:strCache>
                <c:ptCount val="1"/>
                <c:pt idx="0">
                  <c:v>HS2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1C88E3"/>
              </a:solidFill>
              <a:ln w="9525">
                <a:noFill/>
                <a:round/>
              </a:ln>
              <a:effectLst/>
            </c:spPr>
          </c:marker>
          <c:xVal>
            <c:numRef>
              <c:f>'parallel vs header-seeker-6'!$A$2:$A$66</c:f>
              <c:numCache>
                <c:formatCode>General</c:formatCode>
                <c:ptCount val="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</c:numCache>
            </c:numRef>
          </c:xVal>
          <c:yVal>
            <c:numRef>
              <c:f>'parallel vs header-seeker-6'!$I$2:$I$66</c:f>
              <c:numCache>
                <c:formatCode>General</c:formatCode>
                <c:ptCount val="65"/>
                <c:pt idx="0">
                  <c:v>39</c:v>
                </c:pt>
                <c:pt idx="1">
                  <c:v>38</c:v>
                </c:pt>
                <c:pt idx="2">
                  <c:v>39</c:v>
                </c:pt>
                <c:pt idx="3">
                  <c:v>38</c:v>
                </c:pt>
                <c:pt idx="4">
                  <c:v>39</c:v>
                </c:pt>
                <c:pt idx="5">
                  <c:v>37</c:v>
                </c:pt>
                <c:pt idx="6">
                  <c:v>39</c:v>
                </c:pt>
                <c:pt idx="7">
                  <c:v>40</c:v>
                </c:pt>
                <c:pt idx="8">
                  <c:v>36</c:v>
                </c:pt>
                <c:pt idx="9">
                  <c:v>38</c:v>
                </c:pt>
                <c:pt idx="10">
                  <c:v>39</c:v>
                </c:pt>
                <c:pt idx="11">
                  <c:v>39</c:v>
                </c:pt>
                <c:pt idx="12">
                  <c:v>39</c:v>
                </c:pt>
                <c:pt idx="13">
                  <c:v>37</c:v>
                </c:pt>
                <c:pt idx="14">
                  <c:v>38</c:v>
                </c:pt>
                <c:pt idx="15">
                  <c:v>38</c:v>
                </c:pt>
                <c:pt idx="16">
                  <c:v>38</c:v>
                </c:pt>
                <c:pt idx="17">
                  <c:v>40</c:v>
                </c:pt>
                <c:pt idx="18">
                  <c:v>36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36</c:v>
                </c:pt>
                <c:pt idx="23">
                  <c:v>38</c:v>
                </c:pt>
                <c:pt idx="24">
                  <c:v>36</c:v>
                </c:pt>
                <c:pt idx="25">
                  <c:v>37</c:v>
                </c:pt>
                <c:pt idx="26">
                  <c:v>38</c:v>
                </c:pt>
                <c:pt idx="27">
                  <c:v>37</c:v>
                </c:pt>
                <c:pt idx="28">
                  <c:v>38</c:v>
                </c:pt>
                <c:pt idx="29">
                  <c:v>41</c:v>
                </c:pt>
                <c:pt idx="30">
                  <c:v>37</c:v>
                </c:pt>
                <c:pt idx="31">
                  <c:v>38</c:v>
                </c:pt>
                <c:pt idx="32">
                  <c:v>39</c:v>
                </c:pt>
                <c:pt idx="33">
                  <c:v>37</c:v>
                </c:pt>
                <c:pt idx="34">
                  <c:v>38</c:v>
                </c:pt>
                <c:pt idx="35">
                  <c:v>37</c:v>
                </c:pt>
                <c:pt idx="36">
                  <c:v>38</c:v>
                </c:pt>
                <c:pt idx="37">
                  <c:v>41</c:v>
                </c:pt>
                <c:pt idx="38">
                  <c:v>38</c:v>
                </c:pt>
                <c:pt idx="39">
                  <c:v>38</c:v>
                </c:pt>
                <c:pt idx="40">
                  <c:v>40</c:v>
                </c:pt>
                <c:pt idx="41">
                  <c:v>40</c:v>
                </c:pt>
                <c:pt idx="42">
                  <c:v>39</c:v>
                </c:pt>
                <c:pt idx="43">
                  <c:v>37</c:v>
                </c:pt>
                <c:pt idx="44">
                  <c:v>38</c:v>
                </c:pt>
                <c:pt idx="45">
                  <c:v>40</c:v>
                </c:pt>
                <c:pt idx="46">
                  <c:v>38</c:v>
                </c:pt>
                <c:pt idx="47">
                  <c:v>39</c:v>
                </c:pt>
                <c:pt idx="48">
                  <c:v>38</c:v>
                </c:pt>
                <c:pt idx="49">
                  <c:v>38</c:v>
                </c:pt>
                <c:pt idx="50">
                  <c:v>39</c:v>
                </c:pt>
                <c:pt idx="51">
                  <c:v>39</c:v>
                </c:pt>
                <c:pt idx="52">
                  <c:v>40</c:v>
                </c:pt>
                <c:pt idx="53">
                  <c:v>39</c:v>
                </c:pt>
                <c:pt idx="54">
                  <c:v>40</c:v>
                </c:pt>
                <c:pt idx="55">
                  <c:v>38</c:v>
                </c:pt>
                <c:pt idx="56">
                  <c:v>40</c:v>
                </c:pt>
                <c:pt idx="57">
                  <c:v>39</c:v>
                </c:pt>
                <c:pt idx="58">
                  <c:v>39</c:v>
                </c:pt>
                <c:pt idx="59">
                  <c:v>40</c:v>
                </c:pt>
                <c:pt idx="60">
                  <c:v>39</c:v>
                </c:pt>
                <c:pt idx="61">
                  <c:v>39</c:v>
                </c:pt>
                <c:pt idx="62">
                  <c:v>39</c:v>
                </c:pt>
                <c:pt idx="63">
                  <c:v>39</c:v>
                </c:pt>
                <c:pt idx="64">
                  <c:v>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C33-4C73-8CBB-35E4808CBE21}"/>
            </c:ext>
          </c:extLst>
        </c:ser>
        <c:ser>
          <c:idx val="3"/>
          <c:order val="8"/>
          <c:tx>
            <c:strRef>
              <c:f>'parallel vs header-seeker-6'!$K$1</c:f>
              <c:strCache>
                <c:ptCount val="1"/>
                <c:pt idx="0">
                  <c:v>Original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746"/>
              </a:solidFill>
              <a:ln w="9525">
                <a:noFill/>
                <a:round/>
              </a:ln>
              <a:effectLst/>
            </c:spPr>
          </c:marker>
          <c:xVal>
            <c:numRef>
              <c:f>'parallel vs header-seeker-6'!$A$2:$A$66</c:f>
              <c:numCache>
                <c:formatCode>General</c:formatCode>
                <c:ptCount val="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</c:numCache>
              <c:extLst xmlns:c15="http://schemas.microsoft.com/office/drawing/2012/chart"/>
            </c:numRef>
          </c:xVal>
          <c:yVal>
            <c:numRef>
              <c:f>'parallel vs header-seeker-6'!$K$2:$K$66</c:f>
              <c:numCache>
                <c:formatCode>General</c:formatCode>
                <c:ptCount val="65"/>
                <c:pt idx="0">
                  <c:v>69</c:v>
                </c:pt>
                <c:pt idx="1">
                  <c:v>105</c:v>
                </c:pt>
                <c:pt idx="2">
                  <c:v>184</c:v>
                </c:pt>
                <c:pt idx="3">
                  <c:v>255</c:v>
                </c:pt>
                <c:pt idx="4">
                  <c:v>343</c:v>
                </c:pt>
                <c:pt idx="5">
                  <c:v>428</c:v>
                </c:pt>
                <c:pt idx="6">
                  <c:v>487</c:v>
                </c:pt>
                <c:pt idx="7">
                  <c:v>558</c:v>
                </c:pt>
                <c:pt idx="8">
                  <c:v>635</c:v>
                </c:pt>
                <c:pt idx="9">
                  <c:v>738</c:v>
                </c:pt>
                <c:pt idx="10">
                  <c:v>798</c:v>
                </c:pt>
                <c:pt idx="11">
                  <c:v>874</c:v>
                </c:pt>
                <c:pt idx="12">
                  <c:v>980</c:v>
                </c:pt>
                <c:pt idx="13">
                  <c:v>1031</c:v>
                </c:pt>
                <c:pt idx="14">
                  <c:v>1106</c:v>
                </c:pt>
                <c:pt idx="15">
                  <c:v>1206</c:v>
                </c:pt>
                <c:pt idx="16">
                  <c:v>1256</c:v>
                </c:pt>
                <c:pt idx="17">
                  <c:v>1372</c:v>
                </c:pt>
                <c:pt idx="18">
                  <c:v>1425</c:v>
                </c:pt>
                <c:pt idx="19">
                  <c:v>1526</c:v>
                </c:pt>
                <c:pt idx="20">
                  <c:v>1557</c:v>
                </c:pt>
                <c:pt idx="21">
                  <c:v>1681</c:v>
                </c:pt>
                <c:pt idx="22">
                  <c:v>1758</c:v>
                </c:pt>
                <c:pt idx="23">
                  <c:v>1837</c:v>
                </c:pt>
                <c:pt idx="24">
                  <c:v>1927</c:v>
                </c:pt>
                <c:pt idx="25">
                  <c:v>1999</c:v>
                </c:pt>
                <c:pt idx="26">
                  <c:v>2098</c:v>
                </c:pt>
                <c:pt idx="27">
                  <c:v>2138</c:v>
                </c:pt>
                <c:pt idx="28">
                  <c:v>2206</c:v>
                </c:pt>
                <c:pt idx="29">
                  <c:v>2345</c:v>
                </c:pt>
                <c:pt idx="30">
                  <c:v>2405</c:v>
                </c:pt>
                <c:pt idx="31">
                  <c:v>2441</c:v>
                </c:pt>
                <c:pt idx="32">
                  <c:v>2541</c:v>
                </c:pt>
                <c:pt idx="33">
                  <c:v>2644</c:v>
                </c:pt>
                <c:pt idx="34">
                  <c:v>2701</c:v>
                </c:pt>
                <c:pt idx="35">
                  <c:v>2728</c:v>
                </c:pt>
                <c:pt idx="36">
                  <c:v>2826</c:v>
                </c:pt>
                <c:pt idx="37">
                  <c:v>2907</c:v>
                </c:pt>
                <c:pt idx="38">
                  <c:v>3037</c:v>
                </c:pt>
                <c:pt idx="39">
                  <c:v>3012</c:v>
                </c:pt>
                <c:pt idx="40">
                  <c:v>3154</c:v>
                </c:pt>
                <c:pt idx="41">
                  <c:v>3283</c:v>
                </c:pt>
                <c:pt idx="42">
                  <c:v>3310</c:v>
                </c:pt>
                <c:pt idx="43">
                  <c:v>3404</c:v>
                </c:pt>
                <c:pt idx="44">
                  <c:v>3421</c:v>
                </c:pt>
                <c:pt idx="45">
                  <c:v>3592</c:v>
                </c:pt>
                <c:pt idx="46">
                  <c:v>3650</c:v>
                </c:pt>
                <c:pt idx="47">
                  <c:v>3736</c:v>
                </c:pt>
                <c:pt idx="48">
                  <c:v>3811</c:v>
                </c:pt>
                <c:pt idx="49">
                  <c:v>3870</c:v>
                </c:pt>
                <c:pt idx="50">
                  <c:v>3976</c:v>
                </c:pt>
                <c:pt idx="51">
                  <c:v>4005</c:v>
                </c:pt>
                <c:pt idx="52">
                  <c:v>4083</c:v>
                </c:pt>
                <c:pt idx="53">
                  <c:v>4162</c:v>
                </c:pt>
                <c:pt idx="54">
                  <c:v>4289</c:v>
                </c:pt>
                <c:pt idx="55">
                  <c:v>4330</c:v>
                </c:pt>
                <c:pt idx="56">
                  <c:v>4417</c:v>
                </c:pt>
                <c:pt idx="57">
                  <c:v>4500</c:v>
                </c:pt>
                <c:pt idx="58">
                  <c:v>4571</c:v>
                </c:pt>
                <c:pt idx="59">
                  <c:v>4631</c:v>
                </c:pt>
                <c:pt idx="60">
                  <c:v>4727</c:v>
                </c:pt>
                <c:pt idx="61">
                  <c:v>2526</c:v>
                </c:pt>
                <c:pt idx="62">
                  <c:v>2371</c:v>
                </c:pt>
                <c:pt idx="63">
                  <c:v>2294</c:v>
                </c:pt>
                <c:pt idx="64">
                  <c:v>1685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1F45-4803-8936-D1254E9D1B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772784"/>
        <c:axId val="136774448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7"/>
                <c:tx>
                  <c:strRef>
                    <c:extLst>
                      <c:ext uri="{02D57815-91ED-43cb-92C2-25804820EDAC}">
                        <c15:formulaRef>
                          <c15:sqref>'parallel vs header-seeker-6'!$J$1</c15:sqref>
                        </c15:formulaRef>
                      </c:ext>
                    </c:extLst>
                    <c:strCache>
                      <c:ptCount val="1"/>
                      <c:pt idx="0">
                        <c:v>HS1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424242"/>
                    </a:solidFill>
                    <a:ln w="9525">
                      <a:noFill/>
                      <a:round/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'parallel vs header-seeker-6'!$A$2:$A$66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'parallel vs header-seeker-6'!$J$2:$J$66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21</c:v>
                      </c:pt>
                      <c:pt idx="1">
                        <c:v>23</c:v>
                      </c:pt>
                      <c:pt idx="2">
                        <c:v>23</c:v>
                      </c:pt>
                      <c:pt idx="3">
                        <c:v>24</c:v>
                      </c:pt>
                      <c:pt idx="4">
                        <c:v>26</c:v>
                      </c:pt>
                      <c:pt idx="5">
                        <c:v>27</c:v>
                      </c:pt>
                      <c:pt idx="6">
                        <c:v>28</c:v>
                      </c:pt>
                      <c:pt idx="7">
                        <c:v>29</c:v>
                      </c:pt>
                      <c:pt idx="8">
                        <c:v>30</c:v>
                      </c:pt>
                      <c:pt idx="9">
                        <c:v>31</c:v>
                      </c:pt>
                      <c:pt idx="10">
                        <c:v>32</c:v>
                      </c:pt>
                      <c:pt idx="11">
                        <c:v>33</c:v>
                      </c:pt>
                      <c:pt idx="12">
                        <c:v>33</c:v>
                      </c:pt>
                      <c:pt idx="13">
                        <c:v>35</c:v>
                      </c:pt>
                      <c:pt idx="14">
                        <c:v>35</c:v>
                      </c:pt>
                      <c:pt idx="15">
                        <c:v>37</c:v>
                      </c:pt>
                      <c:pt idx="16">
                        <c:v>38</c:v>
                      </c:pt>
                      <c:pt idx="17">
                        <c:v>39</c:v>
                      </c:pt>
                      <c:pt idx="18">
                        <c:v>41</c:v>
                      </c:pt>
                      <c:pt idx="19">
                        <c:v>41</c:v>
                      </c:pt>
                      <c:pt idx="20">
                        <c:v>42</c:v>
                      </c:pt>
                      <c:pt idx="21">
                        <c:v>42</c:v>
                      </c:pt>
                      <c:pt idx="22">
                        <c:v>43</c:v>
                      </c:pt>
                      <c:pt idx="23">
                        <c:v>45</c:v>
                      </c:pt>
                      <c:pt idx="24">
                        <c:v>48</c:v>
                      </c:pt>
                      <c:pt idx="25">
                        <c:v>46</c:v>
                      </c:pt>
                      <c:pt idx="26">
                        <c:v>47</c:v>
                      </c:pt>
                      <c:pt idx="27">
                        <c:v>48</c:v>
                      </c:pt>
                      <c:pt idx="28">
                        <c:v>50</c:v>
                      </c:pt>
                      <c:pt idx="29">
                        <c:v>52</c:v>
                      </c:pt>
                      <c:pt idx="30">
                        <c:v>51</c:v>
                      </c:pt>
                      <c:pt idx="31">
                        <c:v>54</c:v>
                      </c:pt>
                      <c:pt idx="32">
                        <c:v>53</c:v>
                      </c:pt>
                      <c:pt idx="33">
                        <c:v>55</c:v>
                      </c:pt>
                      <c:pt idx="34">
                        <c:v>55</c:v>
                      </c:pt>
                      <c:pt idx="35">
                        <c:v>55</c:v>
                      </c:pt>
                      <c:pt idx="36">
                        <c:v>61</c:v>
                      </c:pt>
                      <c:pt idx="37">
                        <c:v>59</c:v>
                      </c:pt>
                      <c:pt idx="38">
                        <c:v>59</c:v>
                      </c:pt>
                      <c:pt idx="39">
                        <c:v>60</c:v>
                      </c:pt>
                      <c:pt idx="40">
                        <c:v>63</c:v>
                      </c:pt>
                      <c:pt idx="41">
                        <c:v>63</c:v>
                      </c:pt>
                      <c:pt idx="42">
                        <c:v>63</c:v>
                      </c:pt>
                      <c:pt idx="43">
                        <c:v>66</c:v>
                      </c:pt>
                      <c:pt idx="44">
                        <c:v>67</c:v>
                      </c:pt>
                      <c:pt idx="45">
                        <c:v>67</c:v>
                      </c:pt>
                      <c:pt idx="46">
                        <c:v>68</c:v>
                      </c:pt>
                      <c:pt idx="47">
                        <c:v>69</c:v>
                      </c:pt>
                      <c:pt idx="48">
                        <c:v>71</c:v>
                      </c:pt>
                      <c:pt idx="49">
                        <c:v>70</c:v>
                      </c:pt>
                      <c:pt idx="50">
                        <c:v>72</c:v>
                      </c:pt>
                      <c:pt idx="51">
                        <c:v>72</c:v>
                      </c:pt>
                      <c:pt idx="52">
                        <c:v>74</c:v>
                      </c:pt>
                      <c:pt idx="53">
                        <c:v>76</c:v>
                      </c:pt>
                      <c:pt idx="54">
                        <c:v>78</c:v>
                      </c:pt>
                      <c:pt idx="55">
                        <c:v>76</c:v>
                      </c:pt>
                      <c:pt idx="56">
                        <c:v>78</c:v>
                      </c:pt>
                      <c:pt idx="57">
                        <c:v>79</c:v>
                      </c:pt>
                      <c:pt idx="58">
                        <c:v>78</c:v>
                      </c:pt>
                      <c:pt idx="59">
                        <c:v>82</c:v>
                      </c:pt>
                      <c:pt idx="60">
                        <c:v>82</c:v>
                      </c:pt>
                      <c:pt idx="61">
                        <c:v>86</c:v>
                      </c:pt>
                      <c:pt idx="62">
                        <c:v>87</c:v>
                      </c:pt>
                      <c:pt idx="63">
                        <c:v>86</c:v>
                      </c:pt>
                      <c:pt idx="64">
                        <c:v>85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9EEC-4751-9DA4-593087545E03}"/>
                  </c:ext>
                </c:extLst>
              </c15:ser>
            </c15:filteredScatterSeries>
          </c:ext>
        </c:extLst>
      </c:scatterChart>
      <c:valAx>
        <c:axId val="136772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774448"/>
        <c:crosses val="autoZero"/>
        <c:crossBetween val="midCat"/>
      </c:valAx>
      <c:valAx>
        <c:axId val="136774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66b Blocks Lost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7727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% Resource Utilization of Channel with Kintex 7 T160 Target FPGA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'parallel vs header-seeker-6'!$N$1</c:f>
              <c:strCache>
                <c:ptCount val="1"/>
                <c:pt idx="0">
                  <c:v>FP</c:v>
                </c:pt>
              </c:strCache>
            </c:strRef>
          </c:tx>
          <c:spPr>
            <a:solidFill>
              <a:srgbClr val="EF6C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'parallel vs header-seeker-6'!$M$2:$M$3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header-seeker-6'!$N$2:$N$3</c:f>
              <c:numCache>
                <c:formatCode>0.00%</c:formatCode>
                <c:ptCount val="2"/>
                <c:pt idx="0">
                  <c:v>1.47E-2</c:v>
                </c:pt>
                <c:pt idx="1">
                  <c:v>5.3E-3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06C-4E99-9250-DC94877F4FD6}"/>
            </c:ext>
          </c:extLst>
        </c:ser>
        <c:ser>
          <c:idx val="4"/>
          <c:order val="1"/>
          <c:tx>
            <c:strRef>
              <c:f>'parallel vs header-seeker-6'!$O$1</c:f>
              <c:strCache>
                <c:ptCount val="1"/>
                <c:pt idx="0">
                  <c:v>HS33</c:v>
                </c:pt>
              </c:strCache>
            </c:strRef>
          </c:tx>
          <c:spPr>
            <a:solidFill>
              <a:srgbClr val="AC135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'parallel vs header-seeker-6'!$M$2:$M$3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header-seeker-6'!$O$2:$O$3</c:f>
              <c:numCache>
                <c:formatCode>0.00%</c:formatCode>
                <c:ptCount val="2"/>
                <c:pt idx="0">
                  <c:v>1.0699999999999999E-2</c:v>
                </c:pt>
                <c:pt idx="1">
                  <c:v>4.1999999999999997E-3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06C-4E99-9250-DC94877F4FD6}"/>
            </c:ext>
          </c:extLst>
        </c:ser>
        <c:ser>
          <c:idx val="5"/>
          <c:order val="2"/>
          <c:tx>
            <c:strRef>
              <c:f>'parallel vs header-seeker-6'!$P$1</c:f>
              <c:strCache>
                <c:ptCount val="1"/>
                <c:pt idx="0">
                  <c:v>HS22</c:v>
                </c:pt>
              </c:strCache>
            </c:strRef>
          </c:tx>
          <c:spPr>
            <a:solidFill>
              <a:srgbClr val="6A1B9A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'parallel vs header-seeker-6'!$M$2:$M$3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header-seeker-6'!$P$2:$P$3</c:f>
              <c:numCache>
                <c:formatCode>0.00%</c:formatCode>
                <c:ptCount val="2"/>
                <c:pt idx="0">
                  <c:v>9.4000000000000004E-3</c:v>
                </c:pt>
                <c:pt idx="1">
                  <c:v>3.7000000000000002E-3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06C-4E99-9250-DC94877F4FD6}"/>
            </c:ext>
          </c:extLst>
        </c:ser>
        <c:ser>
          <c:idx val="6"/>
          <c:order val="3"/>
          <c:tx>
            <c:strRef>
              <c:f>'parallel vs header-seeker-6'!$Q$1</c:f>
              <c:strCache>
                <c:ptCount val="1"/>
                <c:pt idx="0">
                  <c:v>HS11</c:v>
                </c:pt>
              </c:strCache>
            </c:strRef>
          </c:tx>
          <c:spPr>
            <a:solidFill>
              <a:srgbClr val="27369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'parallel vs header-seeker-6'!$M$2:$M$3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header-seeker-6'!$Q$2:$Q$3</c:f>
              <c:numCache>
                <c:formatCode>0.00%</c:formatCode>
                <c:ptCount val="2"/>
                <c:pt idx="0">
                  <c:v>7.7000000000000002E-3</c:v>
                </c:pt>
                <c:pt idx="1">
                  <c:v>3.0000000000000001E-3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06C-4E99-9250-DC94877F4FD6}"/>
            </c:ext>
          </c:extLst>
        </c:ser>
        <c:ser>
          <c:idx val="7"/>
          <c:order val="4"/>
          <c:tx>
            <c:strRef>
              <c:f>'parallel vs header-seeker-6'!$R$1</c:f>
              <c:strCache>
                <c:ptCount val="1"/>
                <c:pt idx="0">
                  <c:v>HS6</c:v>
                </c:pt>
              </c:strCache>
            </c:strRef>
          </c:tx>
          <c:spPr>
            <a:solidFill>
              <a:srgbClr val="4CB6A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'parallel vs header-seeker-6'!$M$2:$M$3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header-seeker-6'!$R$2:$R$3</c:f>
              <c:numCache>
                <c:formatCode>0.00%</c:formatCode>
                <c:ptCount val="2"/>
                <c:pt idx="0">
                  <c:v>7.4999999999999997E-3</c:v>
                </c:pt>
                <c:pt idx="1">
                  <c:v>2.7000000000000001E-3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06C-4E99-9250-DC94877F4FD6}"/>
            </c:ext>
          </c:extLst>
        </c:ser>
        <c:ser>
          <c:idx val="8"/>
          <c:order val="5"/>
          <c:tx>
            <c:strRef>
              <c:f>'parallel vs header-seeker-6'!$S$1</c:f>
              <c:strCache>
                <c:ptCount val="1"/>
                <c:pt idx="0">
                  <c:v>HS3</c:v>
                </c:pt>
              </c:strCache>
            </c:strRef>
          </c:tx>
          <c:spPr>
            <a:solidFill>
              <a:srgbClr val="FE72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'parallel vs header-seeker-6'!$M$2:$M$3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header-seeker-6'!$S$2:$S$3</c:f>
              <c:numCache>
                <c:formatCode>0.00%</c:formatCode>
                <c:ptCount val="2"/>
                <c:pt idx="0">
                  <c:v>6.7000000000000002E-3</c:v>
                </c:pt>
                <c:pt idx="1">
                  <c:v>2.5000000000000001E-3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06C-4E99-9250-DC94877F4FD6}"/>
            </c:ext>
          </c:extLst>
        </c:ser>
        <c:ser>
          <c:idx val="9"/>
          <c:order val="6"/>
          <c:tx>
            <c:strRef>
              <c:f>'parallel vs header-seeker-6'!$T$1</c:f>
              <c:strCache>
                <c:ptCount val="1"/>
                <c:pt idx="0">
                  <c:v>HS2</c:v>
                </c:pt>
              </c:strCache>
            </c:strRef>
          </c:tx>
          <c:spPr>
            <a:solidFill>
              <a:srgbClr val="1C88E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'parallel vs header-seeker-6'!$M$2:$M$3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header-seeker-6'!$T$2:$T$3</c:f>
              <c:numCache>
                <c:formatCode>0.00%</c:formatCode>
                <c:ptCount val="2"/>
                <c:pt idx="0">
                  <c:v>5.7999999999999996E-3</c:v>
                </c:pt>
                <c:pt idx="1">
                  <c:v>2.3999999999999998E-3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06C-4E99-9250-DC94877F4FD6}"/>
            </c:ext>
          </c:extLst>
        </c:ser>
        <c:ser>
          <c:idx val="10"/>
          <c:order val="7"/>
          <c:tx>
            <c:strRef>
              <c:f>'parallel vs header-seeker-6'!$U$1</c:f>
              <c:strCache>
                <c:ptCount val="1"/>
                <c:pt idx="0">
                  <c:v>HS1</c:v>
                </c:pt>
              </c:strCache>
            </c:strRef>
          </c:tx>
          <c:spPr>
            <a:solidFill>
              <a:srgbClr val="42424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'parallel vs header-seeker-6'!$M$2:$M$3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header-seeker-6'!$U$2:$U$3</c:f>
              <c:numCache>
                <c:formatCode>0.00%</c:formatCode>
                <c:ptCount val="2"/>
                <c:pt idx="0">
                  <c:v>5.4000000000000003E-3</c:v>
                </c:pt>
                <c:pt idx="1">
                  <c:v>2.3E-3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06C-4E99-9250-DC94877F4FD6}"/>
            </c:ext>
          </c:extLst>
        </c:ser>
        <c:ser>
          <c:idx val="11"/>
          <c:order val="11"/>
          <c:tx>
            <c:strRef>
              <c:f>'parallel vs header-seeker-6'!$V$1</c:f>
              <c:strCache>
                <c:ptCount val="1"/>
                <c:pt idx="0">
                  <c:v>Original</c:v>
                </c:pt>
              </c:strCache>
            </c:strRef>
          </c:tx>
          <c:spPr>
            <a:solidFill>
              <a:srgbClr val="FFC74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'parallel vs header-seeker-6'!$V$2:$V$3</c:f>
              <c:numCache>
                <c:formatCode>0.00%</c:formatCode>
                <c:ptCount val="2"/>
                <c:pt idx="0">
                  <c:v>1.9E-3</c:v>
                </c:pt>
                <c:pt idx="1">
                  <c:v>1.6999999999999999E-3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95-4492-8DA2-742508C6A0F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577342704"/>
        <c:axId val="577343536"/>
        <c:extLst>
          <c:ext xmlns:c15="http://schemas.microsoft.com/office/drawing/2012/chart" uri="{02D57815-91ED-43cb-92C2-25804820EDAC}">
            <c15:filteredBarSeries>
              <c15:ser>
                <c:idx val="0"/>
                <c:order val="8"/>
                <c:tx>
                  <c:strRef>
                    <c:extLst>
                      <c:ext uri="{02D57815-91ED-43cb-92C2-25804820EDAC}">
                        <c15:formulaRef>
                          <c15:sqref>'parallel vs header-seeker-6'!$N$1</c15:sqref>
                        </c15:formulaRef>
                      </c:ext>
                    </c:extLst>
                    <c:strCache>
                      <c:ptCount val="1"/>
                      <c:pt idx="0">
                        <c:v>FP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1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1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1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2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2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'parallel vs header-seeker-6'!$M$2:$M$3</c15:sqref>
                        </c15:formulaRef>
                      </c:ext>
                    </c:extLst>
                    <c:strCache>
                      <c:ptCount val="2"/>
                      <c:pt idx="0">
                        <c:v>LUTs</c:v>
                      </c:pt>
                      <c:pt idx="1">
                        <c:v>FFs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'parallel vs header-seeker-6'!$N$2:$N$3</c15:sqref>
                        </c15:formulaRef>
                      </c:ext>
                    </c:extLst>
                    <c:numCache>
                      <c:formatCode>0.00%</c:formatCode>
                      <c:ptCount val="2"/>
                      <c:pt idx="0">
                        <c:v>1.47E-2</c:v>
                      </c:pt>
                      <c:pt idx="1">
                        <c:v>5.3E-3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9-F06C-4E99-9250-DC94877F4FD6}"/>
                  </c:ext>
                </c:extLst>
              </c15:ser>
            </c15:filteredBarSeries>
            <c15:filteredBarSeries>
              <c15:ser>
                <c:idx val="1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'parallel vs header-seeker-6'!$R$1</c15:sqref>
                        </c15:formulaRef>
                      </c:ext>
                    </c:extLst>
                    <c:strCache>
                      <c:ptCount val="1"/>
                      <c:pt idx="0">
                        <c:v>HS6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2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2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2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2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2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'parallel vs header-seeker-6'!$M$2:$M$3</c15:sqref>
                        </c15:formulaRef>
                      </c:ext>
                    </c:extLst>
                    <c:strCache>
                      <c:ptCount val="2"/>
                      <c:pt idx="0">
                        <c:v>LUTs</c:v>
                      </c:pt>
                      <c:pt idx="1">
                        <c:v>FFs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'parallel vs header-seeker-6'!$R$2:$R$3</c15:sqref>
                        </c15:formulaRef>
                      </c:ext>
                    </c:extLst>
                    <c:numCache>
                      <c:formatCode>0.00%</c:formatCode>
                      <c:ptCount val="2"/>
                      <c:pt idx="0">
                        <c:v>7.4999999999999997E-3</c:v>
                      </c:pt>
                      <c:pt idx="1">
                        <c:v>2.7000000000000001E-3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F06C-4E99-9250-DC94877F4FD6}"/>
                  </c:ext>
                </c:extLst>
              </c15:ser>
            </c15:filteredBarSeries>
            <c15:filteredBarSeries>
              <c15:ser>
                <c:idx val="2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'parallel vs header-seeker-6'!$S$1</c15:sqref>
                        </c15:formulaRef>
                      </c:ext>
                    </c:extLst>
                    <c:strCache>
                      <c:ptCount val="1"/>
                      <c:pt idx="0">
                        <c:v>HS3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3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3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3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2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2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'parallel vs header-seeker-6'!$M$2:$M$3</c15:sqref>
                        </c15:formulaRef>
                      </c:ext>
                    </c:extLst>
                    <c:strCache>
                      <c:ptCount val="2"/>
                      <c:pt idx="0">
                        <c:v>LUTs</c:v>
                      </c:pt>
                      <c:pt idx="1">
                        <c:v>FFs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'parallel vs header-seeker-6'!$S$2:$S$3</c15:sqref>
                        </c15:formulaRef>
                      </c:ext>
                    </c:extLst>
                    <c:numCache>
                      <c:formatCode>0.00%</c:formatCode>
                      <c:ptCount val="2"/>
                      <c:pt idx="0">
                        <c:v>6.7000000000000002E-3</c:v>
                      </c:pt>
                      <c:pt idx="1">
                        <c:v>2.5000000000000001E-3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F06C-4E99-9250-DC94877F4FD6}"/>
                  </c:ext>
                </c:extLst>
              </c15:ser>
            </c15:filteredBarSeries>
          </c:ext>
        </c:extLst>
      </c:barChart>
      <c:catAx>
        <c:axId val="577342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343536"/>
        <c:crosses val="autoZero"/>
        <c:auto val="1"/>
        <c:lblAlgn val="ctr"/>
        <c:lblOffset val="100"/>
        <c:noMultiLvlLbl val="0"/>
      </c:catAx>
      <c:valAx>
        <c:axId val="577343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342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Absolute Resource Utilization of Resync Aligner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'parallel vs header-seeker-6'!$Y$1</c:f>
              <c:strCache>
                <c:ptCount val="1"/>
                <c:pt idx="0">
                  <c:v>FP</c:v>
                </c:pt>
              </c:strCache>
            </c:strRef>
          </c:tx>
          <c:spPr>
            <a:solidFill>
              <a:srgbClr val="EF6C00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'parallel vs header-seeker-6'!$X$2:$X$3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header-seeker-6'!$Y$2:$Y$3</c:f>
              <c:numCache>
                <c:formatCode>General</c:formatCode>
                <c:ptCount val="2"/>
                <c:pt idx="0">
                  <c:v>1261</c:v>
                </c:pt>
                <c:pt idx="1">
                  <c:v>659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85C-43D0-9717-84D4C3428545}"/>
            </c:ext>
          </c:extLst>
        </c:ser>
        <c:ser>
          <c:idx val="4"/>
          <c:order val="1"/>
          <c:tx>
            <c:strRef>
              <c:f>'parallel vs header-seeker-6'!$Z$1</c:f>
              <c:strCache>
                <c:ptCount val="1"/>
                <c:pt idx="0">
                  <c:v>HS33</c:v>
                </c:pt>
              </c:strCache>
            </c:strRef>
          </c:tx>
          <c:spPr>
            <a:solidFill>
              <a:srgbClr val="AC1356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'parallel vs header-seeker-6'!$X$2:$X$3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header-seeker-6'!$Z$2:$Z$3</c:f>
              <c:numCache>
                <c:formatCode>General</c:formatCode>
                <c:ptCount val="2"/>
                <c:pt idx="0">
                  <c:v>852</c:v>
                </c:pt>
                <c:pt idx="1">
                  <c:v>436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85C-43D0-9717-84D4C3428545}"/>
            </c:ext>
          </c:extLst>
        </c:ser>
        <c:ser>
          <c:idx val="5"/>
          <c:order val="2"/>
          <c:tx>
            <c:strRef>
              <c:f>'parallel vs header-seeker-6'!$AA$1</c:f>
              <c:strCache>
                <c:ptCount val="1"/>
                <c:pt idx="0">
                  <c:v>HS22</c:v>
                </c:pt>
              </c:strCache>
            </c:strRef>
          </c:tx>
          <c:spPr>
            <a:solidFill>
              <a:srgbClr val="6A1B9A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'parallel vs header-seeker-6'!$X$2:$X$3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header-seeker-6'!$AA$2:$AA$3</c:f>
              <c:numCache>
                <c:formatCode>General</c:formatCode>
                <c:ptCount val="2"/>
                <c:pt idx="0">
                  <c:v>725</c:v>
                </c:pt>
                <c:pt idx="1">
                  <c:v>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85C-43D0-9717-84D4C3428545}"/>
            </c:ext>
          </c:extLst>
        </c:ser>
        <c:ser>
          <c:idx val="6"/>
          <c:order val="3"/>
          <c:tx>
            <c:strRef>
              <c:f>'parallel vs header-seeker-6'!$AB$1</c:f>
              <c:strCache>
                <c:ptCount val="1"/>
                <c:pt idx="0">
                  <c:v>HS11</c:v>
                </c:pt>
              </c:strCache>
            </c:strRef>
          </c:tx>
          <c:spPr>
            <a:solidFill>
              <a:srgbClr val="27369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'parallel vs header-seeker-6'!$X$2:$X$3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header-seeker-6'!$AB$2:$AB$3</c:f>
              <c:numCache>
                <c:formatCode>General</c:formatCode>
                <c:ptCount val="2"/>
                <c:pt idx="0">
                  <c:v>552</c:v>
                </c:pt>
                <c:pt idx="1">
                  <c:v>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85C-43D0-9717-84D4C3428545}"/>
            </c:ext>
          </c:extLst>
        </c:ser>
        <c:ser>
          <c:idx val="7"/>
          <c:order val="4"/>
          <c:tx>
            <c:strRef>
              <c:f>'parallel vs header-seeker-6'!$AC$1</c:f>
              <c:strCache>
                <c:ptCount val="1"/>
                <c:pt idx="0">
                  <c:v>HS6</c:v>
                </c:pt>
              </c:strCache>
            </c:strRef>
          </c:tx>
          <c:spPr>
            <a:solidFill>
              <a:srgbClr val="4CB6AC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'parallel vs header-seeker-6'!$X$2:$X$3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header-seeker-6'!$AC$2:$AC$3</c:f>
              <c:numCache>
                <c:formatCode>General</c:formatCode>
                <c:ptCount val="2"/>
                <c:pt idx="0">
                  <c:v>527</c:v>
                </c:pt>
                <c:pt idx="1">
                  <c:v>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85C-43D0-9717-84D4C3428545}"/>
            </c:ext>
          </c:extLst>
        </c:ser>
        <c:ser>
          <c:idx val="8"/>
          <c:order val="5"/>
          <c:tx>
            <c:strRef>
              <c:f>'parallel vs header-seeker-6'!$AD$1</c:f>
              <c:strCache>
                <c:ptCount val="1"/>
                <c:pt idx="0">
                  <c:v>HS3</c:v>
                </c:pt>
              </c:strCache>
            </c:strRef>
          </c:tx>
          <c:spPr>
            <a:solidFill>
              <a:srgbClr val="014D4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E727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EDB-4557-8B1E-216BC3E60247}"/>
              </c:ext>
            </c:extLst>
          </c:dPt>
          <c:dPt>
            <c:idx val="1"/>
            <c:invertIfNegative val="0"/>
            <c:bubble3D val="0"/>
            <c:spPr>
              <a:solidFill>
                <a:srgbClr val="FE727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1EDB-4557-8B1E-216BC3E60247}"/>
              </c:ext>
            </c:extLst>
          </c:dPt>
          <c:dLbls>
            <c:delete val="1"/>
          </c:dLbls>
          <c:cat>
            <c:strRef>
              <c:f>'parallel vs header-seeker-6'!$X$2:$X$3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header-seeker-6'!$AD$2:$AD$3</c:f>
              <c:numCache>
                <c:formatCode>General</c:formatCode>
                <c:ptCount val="2"/>
                <c:pt idx="0">
                  <c:v>451</c:v>
                </c:pt>
                <c:pt idx="1">
                  <c:v>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85C-43D0-9717-84D4C3428545}"/>
            </c:ext>
          </c:extLst>
        </c:ser>
        <c:ser>
          <c:idx val="9"/>
          <c:order val="6"/>
          <c:tx>
            <c:strRef>
              <c:f>'parallel vs header-seeker-6'!$AE$1</c:f>
              <c:strCache>
                <c:ptCount val="1"/>
                <c:pt idx="0">
                  <c:v>HS2</c:v>
                </c:pt>
              </c:strCache>
            </c:strRef>
          </c:tx>
          <c:spPr>
            <a:solidFill>
              <a:srgbClr val="1C88E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'parallel vs header-seeker-6'!$X$2:$X$3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header-seeker-6'!$AE$2:$AE$3</c:f>
              <c:numCache>
                <c:formatCode>General</c:formatCode>
                <c:ptCount val="2"/>
                <c:pt idx="0">
                  <c:v>354</c:v>
                </c:pt>
                <c:pt idx="1">
                  <c:v>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85C-43D0-9717-84D4C3428545}"/>
            </c:ext>
          </c:extLst>
        </c:ser>
        <c:ser>
          <c:idx val="10"/>
          <c:order val="7"/>
          <c:tx>
            <c:strRef>
              <c:f>'parallel vs header-seeker-6'!$AF$1</c:f>
              <c:strCache>
                <c:ptCount val="1"/>
                <c:pt idx="0">
                  <c:v>HS1</c:v>
                </c:pt>
              </c:strCache>
            </c:strRef>
          </c:tx>
          <c:spPr>
            <a:solidFill>
              <a:srgbClr val="42424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'parallel vs header-seeker-6'!$X$2:$X$3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header-seeker-6'!$AF$2:$AF$3</c:f>
              <c:numCache>
                <c:formatCode>General</c:formatCode>
                <c:ptCount val="2"/>
                <c:pt idx="0">
                  <c:v>310</c:v>
                </c:pt>
                <c:pt idx="1">
                  <c:v>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85C-43D0-9717-84D4C342854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476302976"/>
        <c:axId val="476304640"/>
      </c:barChart>
      <c:catAx>
        <c:axId val="476302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304640"/>
        <c:crosses val="autoZero"/>
        <c:auto val="1"/>
        <c:lblAlgn val="ctr"/>
        <c:lblOffset val="100"/>
        <c:noMultiLvlLbl val="0"/>
      </c:catAx>
      <c:valAx>
        <c:axId val="476304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302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Ratio</a:t>
            </a:r>
            <a:r>
              <a:rPr lang="en-US" baseline="0"/>
              <a:t> of Aligner Resource to Total Channel Resources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1"/>
          <c:order val="0"/>
          <c:tx>
            <c:strRef>
              <c:f>'parallel vs header-seeker-6'!$N$21</c:f>
              <c:strCache>
                <c:ptCount val="1"/>
                <c:pt idx="0">
                  <c:v>FP</c:v>
                </c:pt>
              </c:strCache>
            </c:strRef>
          </c:tx>
          <c:spPr>
            <a:solidFill>
              <a:srgbClr val="EF6C00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'parallel vs header-seeker-6'!$M$22:$M$23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header-seeker-6'!$N$22:$N$23</c:f>
              <c:numCache>
                <c:formatCode>0.00%</c:formatCode>
                <c:ptCount val="2"/>
                <c:pt idx="0">
                  <c:v>0.8446081714668453</c:v>
                </c:pt>
                <c:pt idx="1">
                  <c:v>0.61877934272300472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857-47AB-BD45-C4DD6F5DA735}"/>
            </c:ext>
          </c:extLst>
        </c:ser>
        <c:ser>
          <c:idx val="12"/>
          <c:order val="1"/>
          <c:tx>
            <c:strRef>
              <c:f>'parallel vs header-seeker-6'!$O$21</c:f>
              <c:strCache>
                <c:ptCount val="1"/>
                <c:pt idx="0">
                  <c:v>HS33</c:v>
                </c:pt>
              </c:strCache>
            </c:strRef>
          </c:tx>
          <c:spPr>
            <a:solidFill>
              <a:srgbClr val="AC1356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'parallel vs header-seeker-6'!$M$22:$M$23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header-seeker-6'!$O$22:$O$23</c:f>
              <c:numCache>
                <c:formatCode>0.00%</c:formatCode>
                <c:ptCount val="2"/>
                <c:pt idx="0">
                  <c:v>0.7859778597785978</c:v>
                </c:pt>
                <c:pt idx="1">
                  <c:v>0.51781472684085506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3857-47AB-BD45-C4DD6F5DA735}"/>
            </c:ext>
          </c:extLst>
        </c:ser>
        <c:ser>
          <c:idx val="13"/>
          <c:order val="2"/>
          <c:tx>
            <c:strRef>
              <c:f>'parallel vs header-seeker-6'!$P$21</c:f>
              <c:strCache>
                <c:ptCount val="1"/>
                <c:pt idx="0">
                  <c:v>HS22</c:v>
                </c:pt>
              </c:strCache>
            </c:strRef>
          </c:tx>
          <c:spPr>
            <a:solidFill>
              <a:srgbClr val="6A1B9A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'parallel vs header-seeker-6'!$M$22:$M$23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header-seeker-6'!$P$22:$P$23</c:f>
              <c:numCache>
                <c:formatCode>0.00%</c:formatCode>
                <c:ptCount val="2"/>
                <c:pt idx="0">
                  <c:v>0.75757575757575757</c:v>
                </c:pt>
                <c:pt idx="1">
                  <c:v>0.46437994722955145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3857-47AB-BD45-C4DD6F5DA735}"/>
            </c:ext>
          </c:extLst>
        </c:ser>
        <c:ser>
          <c:idx val="14"/>
          <c:order val="3"/>
          <c:tx>
            <c:strRef>
              <c:f>'parallel vs header-seeker-6'!$Q$21</c:f>
              <c:strCache>
                <c:ptCount val="1"/>
                <c:pt idx="0">
                  <c:v>HS11</c:v>
                </c:pt>
              </c:strCache>
            </c:strRef>
          </c:tx>
          <c:spPr>
            <a:solidFill>
              <a:srgbClr val="27369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'parallel vs header-seeker-6'!$M$22:$M$23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header-seeker-6'!$Q$22:$Q$23</c:f>
              <c:numCache>
                <c:formatCode>0.00%</c:formatCode>
                <c:ptCount val="2"/>
                <c:pt idx="0">
                  <c:v>0.70408163265306123</c:v>
                </c:pt>
                <c:pt idx="1">
                  <c:v>0.34304207119741098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3857-47AB-BD45-C4DD6F5DA735}"/>
            </c:ext>
          </c:extLst>
        </c:ser>
        <c:ser>
          <c:idx val="15"/>
          <c:order val="4"/>
          <c:tx>
            <c:strRef>
              <c:f>'parallel vs header-seeker-6'!$R$21</c:f>
              <c:strCache>
                <c:ptCount val="1"/>
                <c:pt idx="0">
                  <c:v>HS6</c:v>
                </c:pt>
              </c:strCache>
            </c:strRef>
          </c:tx>
          <c:spPr>
            <a:solidFill>
              <a:srgbClr val="4CB6AC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'parallel vs header-seeker-6'!$M$22:$M$23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header-seeker-6'!$R$22:$R$23</c:f>
              <c:numCache>
                <c:formatCode>0.00%</c:formatCode>
                <c:ptCount val="2"/>
                <c:pt idx="0">
                  <c:v>0.69525065963060684</c:v>
                </c:pt>
                <c:pt idx="1">
                  <c:v>0.26582278481012656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3857-47AB-BD45-C4DD6F5DA735}"/>
            </c:ext>
          </c:extLst>
        </c:ser>
        <c:ser>
          <c:idx val="16"/>
          <c:order val="5"/>
          <c:tx>
            <c:strRef>
              <c:f>'parallel vs header-seeker-6'!$S$21</c:f>
              <c:strCache>
                <c:ptCount val="1"/>
                <c:pt idx="0">
                  <c:v>HS3</c:v>
                </c:pt>
              </c:strCache>
            </c:strRef>
          </c:tx>
          <c:spPr>
            <a:solidFill>
              <a:srgbClr val="FE727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'parallel vs header-seeker-6'!$M$22:$M$23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header-seeker-6'!$S$22:$S$23</c:f>
              <c:numCache>
                <c:formatCode>0.00%</c:formatCode>
                <c:ptCount val="2"/>
                <c:pt idx="0">
                  <c:v>0.66226138032305437</c:v>
                </c:pt>
                <c:pt idx="1">
                  <c:v>0.20857699805068225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3857-47AB-BD45-C4DD6F5DA735}"/>
            </c:ext>
          </c:extLst>
        </c:ser>
        <c:ser>
          <c:idx val="17"/>
          <c:order val="6"/>
          <c:tx>
            <c:strRef>
              <c:f>'parallel vs header-seeker-6'!$T$21</c:f>
              <c:strCache>
                <c:ptCount val="1"/>
                <c:pt idx="0">
                  <c:v>HS2</c:v>
                </c:pt>
              </c:strCache>
            </c:strRef>
          </c:tx>
          <c:spPr>
            <a:solidFill>
              <a:srgbClr val="1C88E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'parallel vs header-seeker-6'!$M$22:$M$23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header-seeker-6'!$T$22:$T$23</c:f>
              <c:numCache>
                <c:formatCode>0.00%</c:formatCode>
                <c:ptCount val="2"/>
                <c:pt idx="0">
                  <c:v>0.60204081632653061</c:v>
                </c:pt>
                <c:pt idx="1">
                  <c:v>0.17979797979797979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3857-47AB-BD45-C4DD6F5DA735}"/>
            </c:ext>
          </c:extLst>
        </c:ser>
        <c:ser>
          <c:idx val="18"/>
          <c:order val="7"/>
          <c:tx>
            <c:strRef>
              <c:f>'parallel vs header-seeker-6'!$U$21</c:f>
              <c:strCache>
                <c:ptCount val="1"/>
                <c:pt idx="0">
                  <c:v>HS1</c:v>
                </c:pt>
              </c:strCache>
            </c:strRef>
          </c:tx>
          <c:spPr>
            <a:solidFill>
              <a:srgbClr val="42424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'parallel vs header-seeker-6'!$M$22:$M$23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header-seeker-6'!$U$22:$U$23</c:f>
              <c:numCache>
                <c:formatCode>0.00%</c:formatCode>
                <c:ptCount val="2"/>
                <c:pt idx="0">
                  <c:v>0.60271646859083194</c:v>
                </c:pt>
                <c:pt idx="1">
                  <c:v>0.16803278688524589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3857-47AB-BD45-C4DD6F5DA73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577342704"/>
        <c:axId val="577343536"/>
        <c:extLst/>
      </c:barChart>
      <c:catAx>
        <c:axId val="577342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343536"/>
        <c:crosses val="autoZero"/>
        <c:auto val="1"/>
        <c:lblAlgn val="ctr"/>
        <c:lblOffset val="100"/>
        <c:noMultiLvlLbl val="0"/>
      </c:catAx>
      <c:valAx>
        <c:axId val="577343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342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Resources Utilized</a:t>
            </a:r>
            <a:r>
              <a:rPr lang="en-US" baseline="0"/>
              <a:t> vs Blocks Lost During Resync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'parallel vs header-seeker-6'!$X$22</c:f>
              <c:strCache>
                <c:ptCount val="1"/>
                <c:pt idx="0">
                  <c:v>Resource Util</c:v>
                </c:pt>
              </c:strCache>
            </c:strRef>
          </c:tx>
          <c:spPr>
            <a:ln w="1905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dPt>
            <c:idx val="0"/>
            <c:marker>
              <c:symbol val="circle"/>
              <c:size val="6"/>
              <c:spPr>
                <a:solidFill>
                  <a:srgbClr val="EF6C00"/>
                </a:solidFill>
                <a:ln w="9525">
                  <a:noFill/>
                  <a:round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5A57-4B6E-A2EC-CAB3A3A5133F}"/>
              </c:ext>
            </c:extLst>
          </c:dPt>
          <c:dPt>
            <c:idx val="1"/>
            <c:marker>
              <c:symbol val="circle"/>
              <c:size val="6"/>
              <c:spPr>
                <a:solidFill>
                  <a:srgbClr val="AC1356"/>
                </a:solidFill>
                <a:ln w="9525">
                  <a:noFill/>
                  <a:round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5A57-4B6E-A2EC-CAB3A3A5133F}"/>
              </c:ext>
            </c:extLst>
          </c:dPt>
          <c:dPt>
            <c:idx val="2"/>
            <c:marker>
              <c:symbol val="circle"/>
              <c:size val="6"/>
              <c:spPr>
                <a:solidFill>
                  <a:srgbClr val="6A1B9A"/>
                </a:solidFill>
                <a:ln w="9525">
                  <a:noFill/>
                  <a:round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5A57-4B6E-A2EC-CAB3A3A5133F}"/>
              </c:ext>
            </c:extLst>
          </c:dPt>
          <c:dPt>
            <c:idx val="3"/>
            <c:marker>
              <c:symbol val="circle"/>
              <c:size val="6"/>
              <c:spPr>
                <a:solidFill>
                  <a:srgbClr val="273693"/>
                </a:solidFill>
                <a:ln w="9525">
                  <a:noFill/>
                  <a:round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5A57-4B6E-A2EC-CAB3A3A5133F}"/>
              </c:ext>
            </c:extLst>
          </c:dPt>
          <c:dPt>
            <c:idx val="4"/>
            <c:marker>
              <c:symbol val="circle"/>
              <c:size val="6"/>
              <c:spPr>
                <a:solidFill>
                  <a:srgbClr val="4CB6AC"/>
                </a:solidFill>
                <a:ln w="9525">
                  <a:noFill/>
                  <a:round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5A57-4B6E-A2EC-CAB3A3A5133F}"/>
              </c:ext>
            </c:extLst>
          </c:dPt>
          <c:dPt>
            <c:idx val="5"/>
            <c:marker>
              <c:symbol val="circle"/>
              <c:size val="6"/>
              <c:spPr>
                <a:solidFill>
                  <a:srgbClr val="FE7272"/>
                </a:solidFill>
                <a:ln w="9525">
                  <a:noFill/>
                  <a:round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5A57-4B6E-A2EC-CAB3A3A5133F}"/>
              </c:ext>
            </c:extLst>
          </c:dPt>
          <c:dPt>
            <c:idx val="6"/>
            <c:marker>
              <c:symbol val="circle"/>
              <c:size val="6"/>
              <c:spPr>
                <a:solidFill>
                  <a:srgbClr val="1C88E3"/>
                </a:solidFill>
                <a:ln w="9525">
                  <a:noFill/>
                  <a:round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5A57-4B6E-A2EC-CAB3A3A5133F}"/>
              </c:ext>
            </c:extLst>
          </c:dPt>
          <c:xVal>
            <c:numRef>
              <c:f>'parallel vs header-seeker-6'!$Y$21:$AE$21</c:f>
              <c:numCache>
                <c:formatCode>General</c:formatCode>
                <c:ptCount val="7"/>
                <c:pt idx="0">
                  <c:v>26.5</c:v>
                </c:pt>
                <c:pt idx="1">
                  <c:v>27.5</c:v>
                </c:pt>
                <c:pt idx="2">
                  <c:v>27.5</c:v>
                </c:pt>
                <c:pt idx="3">
                  <c:v>28</c:v>
                </c:pt>
                <c:pt idx="4">
                  <c:v>29.5</c:v>
                </c:pt>
                <c:pt idx="5">
                  <c:v>33.5</c:v>
                </c:pt>
                <c:pt idx="6">
                  <c:v>39</c:v>
                </c:pt>
              </c:numCache>
            </c:numRef>
          </c:xVal>
          <c:yVal>
            <c:numRef>
              <c:f>'parallel vs header-seeker-6'!$Y$22:$AE$22</c:f>
              <c:numCache>
                <c:formatCode>0.00%</c:formatCode>
                <c:ptCount val="7"/>
                <c:pt idx="0">
                  <c:v>1.47E-2</c:v>
                </c:pt>
                <c:pt idx="1">
                  <c:v>1.0699999999999999E-2</c:v>
                </c:pt>
                <c:pt idx="2">
                  <c:v>9.4000000000000004E-3</c:v>
                </c:pt>
                <c:pt idx="3">
                  <c:v>7.7000000000000002E-3</c:v>
                </c:pt>
                <c:pt idx="4">
                  <c:v>7.4999999999999997E-3</c:v>
                </c:pt>
                <c:pt idx="5">
                  <c:v>6.7000000000000002E-3</c:v>
                </c:pt>
                <c:pt idx="6">
                  <c:v>5.7999999999999996E-3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C1-4B1B-8EE0-AA73FE389C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6251871"/>
        <c:axId val="1126249791"/>
      </c:scatterChart>
      <c:valAx>
        <c:axId val="11262518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</a:t>
                </a:r>
                <a:r>
                  <a:rPr lang="en-US" baseline="0"/>
                  <a:t> # of Blocks Lost During Resynchronization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6249791"/>
        <c:crosses val="autoZero"/>
        <c:crossBetween val="midCat"/>
      </c:valAx>
      <c:valAx>
        <c:axId val="11262497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LUT Resource Utilization of Kintex 7 T160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62518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Blocks Lost During ReSsync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'parallel vs header-seeker-6'!$C$1</c:f>
              <c:strCache>
                <c:ptCount val="1"/>
                <c:pt idx="0">
                  <c:v>FP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'parallel vs header-seeker-6'!$A$2:$A$66</c:f>
              <c:numCache>
                <c:formatCode>General</c:formatCode>
                <c:ptCount val="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</c:numCache>
              <c:extLst xmlns:c15="http://schemas.microsoft.com/office/drawing/2012/chart"/>
            </c:numRef>
          </c:xVal>
          <c:yVal>
            <c:numRef>
              <c:f>'parallel vs header-seeker-6'!$C$2:$C$67</c:f>
              <c:numCache>
                <c:formatCode>General</c:formatCode>
                <c:ptCount val="66"/>
                <c:pt idx="0">
                  <c:v>26</c:v>
                </c:pt>
                <c:pt idx="1">
                  <c:v>26</c:v>
                </c:pt>
                <c:pt idx="2">
                  <c:v>26</c:v>
                </c:pt>
                <c:pt idx="3">
                  <c:v>26</c:v>
                </c:pt>
                <c:pt idx="4">
                  <c:v>27</c:v>
                </c:pt>
                <c:pt idx="5">
                  <c:v>26</c:v>
                </c:pt>
                <c:pt idx="6">
                  <c:v>26</c:v>
                </c:pt>
                <c:pt idx="7">
                  <c:v>26</c:v>
                </c:pt>
                <c:pt idx="8">
                  <c:v>26</c:v>
                </c:pt>
                <c:pt idx="9">
                  <c:v>26</c:v>
                </c:pt>
                <c:pt idx="10">
                  <c:v>26</c:v>
                </c:pt>
                <c:pt idx="11">
                  <c:v>26</c:v>
                </c:pt>
                <c:pt idx="12">
                  <c:v>26</c:v>
                </c:pt>
                <c:pt idx="13">
                  <c:v>26</c:v>
                </c:pt>
                <c:pt idx="14">
                  <c:v>26</c:v>
                </c:pt>
                <c:pt idx="15">
                  <c:v>25</c:v>
                </c:pt>
                <c:pt idx="16">
                  <c:v>26</c:v>
                </c:pt>
                <c:pt idx="17">
                  <c:v>26</c:v>
                </c:pt>
                <c:pt idx="18">
                  <c:v>26</c:v>
                </c:pt>
                <c:pt idx="19">
                  <c:v>26</c:v>
                </c:pt>
                <c:pt idx="20">
                  <c:v>26</c:v>
                </c:pt>
                <c:pt idx="21">
                  <c:v>26</c:v>
                </c:pt>
                <c:pt idx="22">
                  <c:v>26</c:v>
                </c:pt>
                <c:pt idx="23">
                  <c:v>26</c:v>
                </c:pt>
                <c:pt idx="24">
                  <c:v>26</c:v>
                </c:pt>
                <c:pt idx="25">
                  <c:v>25</c:v>
                </c:pt>
                <c:pt idx="26">
                  <c:v>26</c:v>
                </c:pt>
                <c:pt idx="27">
                  <c:v>25</c:v>
                </c:pt>
                <c:pt idx="28">
                  <c:v>26</c:v>
                </c:pt>
                <c:pt idx="29">
                  <c:v>26</c:v>
                </c:pt>
                <c:pt idx="30">
                  <c:v>26</c:v>
                </c:pt>
                <c:pt idx="31">
                  <c:v>26</c:v>
                </c:pt>
                <c:pt idx="32">
                  <c:v>26</c:v>
                </c:pt>
                <c:pt idx="33">
                  <c:v>26</c:v>
                </c:pt>
                <c:pt idx="34">
                  <c:v>26</c:v>
                </c:pt>
                <c:pt idx="35">
                  <c:v>26</c:v>
                </c:pt>
                <c:pt idx="36">
                  <c:v>26</c:v>
                </c:pt>
                <c:pt idx="37">
                  <c:v>26</c:v>
                </c:pt>
                <c:pt idx="38">
                  <c:v>26</c:v>
                </c:pt>
                <c:pt idx="39">
                  <c:v>25</c:v>
                </c:pt>
                <c:pt idx="40">
                  <c:v>26</c:v>
                </c:pt>
                <c:pt idx="41">
                  <c:v>26</c:v>
                </c:pt>
                <c:pt idx="42">
                  <c:v>26</c:v>
                </c:pt>
                <c:pt idx="43">
                  <c:v>26</c:v>
                </c:pt>
                <c:pt idx="44">
                  <c:v>26</c:v>
                </c:pt>
                <c:pt idx="45">
                  <c:v>26</c:v>
                </c:pt>
                <c:pt idx="46">
                  <c:v>26</c:v>
                </c:pt>
                <c:pt idx="47">
                  <c:v>26</c:v>
                </c:pt>
                <c:pt idx="48">
                  <c:v>27</c:v>
                </c:pt>
                <c:pt idx="49">
                  <c:v>26</c:v>
                </c:pt>
                <c:pt idx="50">
                  <c:v>26</c:v>
                </c:pt>
                <c:pt idx="51">
                  <c:v>26</c:v>
                </c:pt>
                <c:pt idx="52">
                  <c:v>26</c:v>
                </c:pt>
                <c:pt idx="53">
                  <c:v>26</c:v>
                </c:pt>
                <c:pt idx="54">
                  <c:v>27</c:v>
                </c:pt>
                <c:pt idx="55">
                  <c:v>26</c:v>
                </c:pt>
                <c:pt idx="56">
                  <c:v>26</c:v>
                </c:pt>
                <c:pt idx="57">
                  <c:v>26</c:v>
                </c:pt>
                <c:pt idx="58">
                  <c:v>26</c:v>
                </c:pt>
                <c:pt idx="59">
                  <c:v>26</c:v>
                </c:pt>
                <c:pt idx="60">
                  <c:v>26</c:v>
                </c:pt>
                <c:pt idx="61">
                  <c:v>26</c:v>
                </c:pt>
                <c:pt idx="62">
                  <c:v>26</c:v>
                </c:pt>
                <c:pt idx="63">
                  <c:v>26</c:v>
                </c:pt>
                <c:pt idx="64">
                  <c:v>26</c:v>
                </c:pt>
                <c:pt idx="65">
                  <c:v>26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7DD7-440C-A712-E6877EBD9304}"/>
            </c:ext>
          </c:extLst>
        </c:ser>
        <c:ser>
          <c:idx val="5"/>
          <c:order val="1"/>
          <c:tx>
            <c:strRef>
              <c:f>'parallel vs header-seeker-6'!$D$1</c:f>
              <c:strCache>
                <c:ptCount val="1"/>
                <c:pt idx="0">
                  <c:v>HS33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6"/>
                </a:solidFill>
                <a:round/>
              </a:ln>
              <a:effectLst/>
            </c:spPr>
          </c:marker>
          <c:xVal>
            <c:numRef>
              <c:f>'parallel vs header-seeker-6'!$A$2:$A$66</c:f>
              <c:numCache>
                <c:formatCode>General</c:formatCode>
                <c:ptCount val="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</c:numCache>
              <c:extLst xmlns:c15="http://schemas.microsoft.com/office/drawing/2012/chart"/>
            </c:numRef>
          </c:xVal>
          <c:yVal>
            <c:numRef>
              <c:f>'parallel vs header-seeker-6'!$D$2:$D$66</c:f>
              <c:numCache>
                <c:formatCode>General</c:formatCode>
                <c:ptCount val="65"/>
                <c:pt idx="0">
                  <c:v>26</c:v>
                </c:pt>
                <c:pt idx="1">
                  <c:v>26</c:v>
                </c:pt>
                <c:pt idx="2">
                  <c:v>27</c:v>
                </c:pt>
                <c:pt idx="3">
                  <c:v>27</c:v>
                </c:pt>
                <c:pt idx="4">
                  <c:v>27</c:v>
                </c:pt>
                <c:pt idx="5">
                  <c:v>27</c:v>
                </c:pt>
                <c:pt idx="6">
                  <c:v>27</c:v>
                </c:pt>
                <c:pt idx="7">
                  <c:v>27</c:v>
                </c:pt>
                <c:pt idx="8">
                  <c:v>26</c:v>
                </c:pt>
                <c:pt idx="9">
                  <c:v>27</c:v>
                </c:pt>
                <c:pt idx="10">
                  <c:v>26</c:v>
                </c:pt>
                <c:pt idx="11">
                  <c:v>27</c:v>
                </c:pt>
                <c:pt idx="12">
                  <c:v>27</c:v>
                </c:pt>
                <c:pt idx="13">
                  <c:v>28</c:v>
                </c:pt>
                <c:pt idx="14">
                  <c:v>27</c:v>
                </c:pt>
                <c:pt idx="15">
                  <c:v>27</c:v>
                </c:pt>
                <c:pt idx="16">
                  <c:v>28</c:v>
                </c:pt>
                <c:pt idx="17">
                  <c:v>28</c:v>
                </c:pt>
                <c:pt idx="18">
                  <c:v>28</c:v>
                </c:pt>
                <c:pt idx="19">
                  <c:v>27</c:v>
                </c:pt>
                <c:pt idx="20">
                  <c:v>27</c:v>
                </c:pt>
                <c:pt idx="21">
                  <c:v>27</c:v>
                </c:pt>
                <c:pt idx="22">
                  <c:v>27</c:v>
                </c:pt>
                <c:pt idx="23">
                  <c:v>27</c:v>
                </c:pt>
                <c:pt idx="24">
                  <c:v>27</c:v>
                </c:pt>
                <c:pt idx="25">
                  <c:v>27</c:v>
                </c:pt>
                <c:pt idx="26">
                  <c:v>27</c:v>
                </c:pt>
                <c:pt idx="27">
                  <c:v>27</c:v>
                </c:pt>
                <c:pt idx="28">
                  <c:v>27</c:v>
                </c:pt>
                <c:pt idx="29">
                  <c:v>27</c:v>
                </c:pt>
                <c:pt idx="30">
                  <c:v>27</c:v>
                </c:pt>
                <c:pt idx="31">
                  <c:v>27</c:v>
                </c:pt>
                <c:pt idx="32">
                  <c:v>28</c:v>
                </c:pt>
                <c:pt idx="33">
                  <c:v>27</c:v>
                </c:pt>
                <c:pt idx="34">
                  <c:v>28</c:v>
                </c:pt>
                <c:pt idx="35">
                  <c:v>27</c:v>
                </c:pt>
                <c:pt idx="36">
                  <c:v>27</c:v>
                </c:pt>
                <c:pt idx="37">
                  <c:v>28</c:v>
                </c:pt>
                <c:pt idx="38">
                  <c:v>27</c:v>
                </c:pt>
                <c:pt idx="39">
                  <c:v>27</c:v>
                </c:pt>
                <c:pt idx="40">
                  <c:v>27</c:v>
                </c:pt>
                <c:pt idx="41">
                  <c:v>27</c:v>
                </c:pt>
                <c:pt idx="42">
                  <c:v>27</c:v>
                </c:pt>
                <c:pt idx="43">
                  <c:v>27</c:v>
                </c:pt>
                <c:pt idx="44">
                  <c:v>26</c:v>
                </c:pt>
                <c:pt idx="45">
                  <c:v>27</c:v>
                </c:pt>
                <c:pt idx="46">
                  <c:v>27</c:v>
                </c:pt>
                <c:pt idx="47">
                  <c:v>28</c:v>
                </c:pt>
                <c:pt idx="48">
                  <c:v>27</c:v>
                </c:pt>
                <c:pt idx="49">
                  <c:v>27</c:v>
                </c:pt>
                <c:pt idx="50">
                  <c:v>27</c:v>
                </c:pt>
                <c:pt idx="51">
                  <c:v>27</c:v>
                </c:pt>
                <c:pt idx="52">
                  <c:v>27</c:v>
                </c:pt>
                <c:pt idx="53">
                  <c:v>27</c:v>
                </c:pt>
                <c:pt idx="54">
                  <c:v>27</c:v>
                </c:pt>
                <c:pt idx="55">
                  <c:v>27</c:v>
                </c:pt>
                <c:pt idx="56">
                  <c:v>27</c:v>
                </c:pt>
                <c:pt idx="57">
                  <c:v>28</c:v>
                </c:pt>
                <c:pt idx="58">
                  <c:v>27</c:v>
                </c:pt>
                <c:pt idx="59">
                  <c:v>27</c:v>
                </c:pt>
                <c:pt idx="60">
                  <c:v>28</c:v>
                </c:pt>
                <c:pt idx="61">
                  <c:v>28</c:v>
                </c:pt>
                <c:pt idx="62">
                  <c:v>28</c:v>
                </c:pt>
                <c:pt idx="63">
                  <c:v>28</c:v>
                </c:pt>
                <c:pt idx="64">
                  <c:v>26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DD7-440C-A712-E6877EBD9304}"/>
            </c:ext>
          </c:extLst>
        </c:ser>
        <c:ser>
          <c:idx val="6"/>
          <c:order val="2"/>
          <c:tx>
            <c:strRef>
              <c:f>'parallel vs header-seeker-6'!$E$1</c:f>
              <c:strCache>
                <c:ptCount val="1"/>
                <c:pt idx="0">
                  <c:v>HS22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'parallel vs header-seeker-6'!$A$2:$A$66</c:f>
              <c:numCache>
                <c:formatCode>General</c:formatCode>
                <c:ptCount val="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</c:numCache>
              <c:extLst xmlns:c15="http://schemas.microsoft.com/office/drawing/2012/chart"/>
            </c:numRef>
          </c:xVal>
          <c:yVal>
            <c:numRef>
              <c:f>'parallel vs header-seeker-6'!$E$2:$E$66</c:f>
              <c:numCache>
                <c:formatCode>General</c:formatCode>
                <c:ptCount val="65"/>
                <c:pt idx="0">
                  <c:v>26</c:v>
                </c:pt>
                <c:pt idx="1">
                  <c:v>26</c:v>
                </c:pt>
                <c:pt idx="2">
                  <c:v>27</c:v>
                </c:pt>
                <c:pt idx="3">
                  <c:v>27</c:v>
                </c:pt>
                <c:pt idx="4">
                  <c:v>27</c:v>
                </c:pt>
                <c:pt idx="5">
                  <c:v>27</c:v>
                </c:pt>
                <c:pt idx="6">
                  <c:v>27</c:v>
                </c:pt>
                <c:pt idx="7">
                  <c:v>27</c:v>
                </c:pt>
                <c:pt idx="8">
                  <c:v>27</c:v>
                </c:pt>
                <c:pt idx="9">
                  <c:v>27</c:v>
                </c:pt>
                <c:pt idx="10">
                  <c:v>27</c:v>
                </c:pt>
                <c:pt idx="11">
                  <c:v>27</c:v>
                </c:pt>
                <c:pt idx="12">
                  <c:v>28</c:v>
                </c:pt>
                <c:pt idx="13">
                  <c:v>27</c:v>
                </c:pt>
                <c:pt idx="14">
                  <c:v>27</c:v>
                </c:pt>
                <c:pt idx="15">
                  <c:v>26</c:v>
                </c:pt>
                <c:pt idx="16">
                  <c:v>27</c:v>
                </c:pt>
                <c:pt idx="17">
                  <c:v>27</c:v>
                </c:pt>
                <c:pt idx="18">
                  <c:v>28</c:v>
                </c:pt>
                <c:pt idx="19">
                  <c:v>27</c:v>
                </c:pt>
                <c:pt idx="20">
                  <c:v>27</c:v>
                </c:pt>
                <c:pt idx="21">
                  <c:v>26</c:v>
                </c:pt>
                <c:pt idx="22">
                  <c:v>27</c:v>
                </c:pt>
                <c:pt idx="23">
                  <c:v>27</c:v>
                </c:pt>
                <c:pt idx="24">
                  <c:v>27</c:v>
                </c:pt>
                <c:pt idx="25">
                  <c:v>27</c:v>
                </c:pt>
                <c:pt idx="26">
                  <c:v>26</c:v>
                </c:pt>
                <c:pt idx="27">
                  <c:v>26</c:v>
                </c:pt>
                <c:pt idx="28">
                  <c:v>27</c:v>
                </c:pt>
                <c:pt idx="29">
                  <c:v>27</c:v>
                </c:pt>
                <c:pt idx="30">
                  <c:v>27</c:v>
                </c:pt>
                <c:pt idx="31">
                  <c:v>27</c:v>
                </c:pt>
                <c:pt idx="32">
                  <c:v>26</c:v>
                </c:pt>
                <c:pt idx="33">
                  <c:v>27</c:v>
                </c:pt>
                <c:pt idx="34">
                  <c:v>27</c:v>
                </c:pt>
                <c:pt idx="35">
                  <c:v>27</c:v>
                </c:pt>
                <c:pt idx="36">
                  <c:v>27</c:v>
                </c:pt>
                <c:pt idx="37">
                  <c:v>27</c:v>
                </c:pt>
                <c:pt idx="38">
                  <c:v>27</c:v>
                </c:pt>
                <c:pt idx="39">
                  <c:v>27</c:v>
                </c:pt>
                <c:pt idx="40">
                  <c:v>27</c:v>
                </c:pt>
                <c:pt idx="41">
                  <c:v>27</c:v>
                </c:pt>
                <c:pt idx="42">
                  <c:v>27</c:v>
                </c:pt>
                <c:pt idx="43">
                  <c:v>29</c:v>
                </c:pt>
                <c:pt idx="44">
                  <c:v>28</c:v>
                </c:pt>
                <c:pt idx="45">
                  <c:v>27</c:v>
                </c:pt>
                <c:pt idx="46">
                  <c:v>27</c:v>
                </c:pt>
                <c:pt idx="47">
                  <c:v>27</c:v>
                </c:pt>
                <c:pt idx="48">
                  <c:v>27</c:v>
                </c:pt>
                <c:pt idx="49">
                  <c:v>27</c:v>
                </c:pt>
                <c:pt idx="50">
                  <c:v>28</c:v>
                </c:pt>
                <c:pt idx="51">
                  <c:v>27</c:v>
                </c:pt>
                <c:pt idx="52">
                  <c:v>27</c:v>
                </c:pt>
                <c:pt idx="53">
                  <c:v>26</c:v>
                </c:pt>
                <c:pt idx="54">
                  <c:v>27</c:v>
                </c:pt>
                <c:pt idx="55">
                  <c:v>28</c:v>
                </c:pt>
                <c:pt idx="56">
                  <c:v>28</c:v>
                </c:pt>
                <c:pt idx="57">
                  <c:v>27</c:v>
                </c:pt>
                <c:pt idx="58">
                  <c:v>27</c:v>
                </c:pt>
                <c:pt idx="59">
                  <c:v>27</c:v>
                </c:pt>
                <c:pt idx="60">
                  <c:v>28</c:v>
                </c:pt>
                <c:pt idx="61">
                  <c:v>28</c:v>
                </c:pt>
                <c:pt idx="62">
                  <c:v>28</c:v>
                </c:pt>
                <c:pt idx="63">
                  <c:v>27</c:v>
                </c:pt>
                <c:pt idx="64">
                  <c:v>27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7DD7-440C-A712-E6877EBD9304}"/>
            </c:ext>
          </c:extLst>
        </c:ser>
        <c:ser>
          <c:idx val="7"/>
          <c:order val="3"/>
          <c:tx>
            <c:strRef>
              <c:f>'parallel vs header-seeker-6'!$F$1</c:f>
              <c:strCache>
                <c:ptCount val="1"/>
                <c:pt idx="0">
                  <c:v>HS11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'parallel vs header-seeker-6'!$A$2:$A$66</c:f>
              <c:numCache>
                <c:formatCode>General</c:formatCode>
                <c:ptCount val="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</c:numCache>
              <c:extLst xmlns:c15="http://schemas.microsoft.com/office/drawing/2012/chart"/>
            </c:numRef>
          </c:xVal>
          <c:yVal>
            <c:numRef>
              <c:f>'parallel vs header-seeker-6'!$F$2:$F$66</c:f>
              <c:numCache>
                <c:formatCode>General</c:formatCode>
                <c:ptCount val="65"/>
                <c:pt idx="0">
                  <c:v>28</c:v>
                </c:pt>
                <c:pt idx="1">
                  <c:v>28</c:v>
                </c:pt>
                <c:pt idx="2">
                  <c:v>28</c:v>
                </c:pt>
                <c:pt idx="3">
                  <c:v>28</c:v>
                </c:pt>
                <c:pt idx="4">
                  <c:v>28</c:v>
                </c:pt>
                <c:pt idx="5">
                  <c:v>28</c:v>
                </c:pt>
                <c:pt idx="6">
                  <c:v>28</c:v>
                </c:pt>
                <c:pt idx="7">
                  <c:v>28</c:v>
                </c:pt>
                <c:pt idx="8">
                  <c:v>27</c:v>
                </c:pt>
                <c:pt idx="9">
                  <c:v>28</c:v>
                </c:pt>
                <c:pt idx="10">
                  <c:v>26</c:v>
                </c:pt>
                <c:pt idx="11">
                  <c:v>28</c:v>
                </c:pt>
                <c:pt idx="12">
                  <c:v>28</c:v>
                </c:pt>
                <c:pt idx="13">
                  <c:v>28</c:v>
                </c:pt>
                <c:pt idx="14">
                  <c:v>28</c:v>
                </c:pt>
                <c:pt idx="15">
                  <c:v>29</c:v>
                </c:pt>
                <c:pt idx="16">
                  <c:v>27</c:v>
                </c:pt>
                <c:pt idx="17">
                  <c:v>28</c:v>
                </c:pt>
                <c:pt idx="18">
                  <c:v>27</c:v>
                </c:pt>
                <c:pt idx="19">
                  <c:v>28</c:v>
                </c:pt>
                <c:pt idx="20">
                  <c:v>28</c:v>
                </c:pt>
                <c:pt idx="21">
                  <c:v>27</c:v>
                </c:pt>
                <c:pt idx="22">
                  <c:v>28</c:v>
                </c:pt>
                <c:pt idx="23">
                  <c:v>28</c:v>
                </c:pt>
                <c:pt idx="24">
                  <c:v>29</c:v>
                </c:pt>
                <c:pt idx="25">
                  <c:v>28</c:v>
                </c:pt>
                <c:pt idx="26">
                  <c:v>27</c:v>
                </c:pt>
                <c:pt idx="27">
                  <c:v>27</c:v>
                </c:pt>
                <c:pt idx="28">
                  <c:v>27</c:v>
                </c:pt>
                <c:pt idx="29">
                  <c:v>28</c:v>
                </c:pt>
                <c:pt idx="30">
                  <c:v>28</c:v>
                </c:pt>
                <c:pt idx="31">
                  <c:v>28</c:v>
                </c:pt>
                <c:pt idx="32">
                  <c:v>29</c:v>
                </c:pt>
                <c:pt idx="33">
                  <c:v>28</c:v>
                </c:pt>
                <c:pt idx="34">
                  <c:v>28</c:v>
                </c:pt>
                <c:pt idx="35">
                  <c:v>28</c:v>
                </c:pt>
                <c:pt idx="36">
                  <c:v>27</c:v>
                </c:pt>
                <c:pt idx="37">
                  <c:v>28</c:v>
                </c:pt>
                <c:pt idx="38">
                  <c:v>28</c:v>
                </c:pt>
                <c:pt idx="39">
                  <c:v>28</c:v>
                </c:pt>
                <c:pt idx="40">
                  <c:v>28</c:v>
                </c:pt>
                <c:pt idx="41">
                  <c:v>27</c:v>
                </c:pt>
                <c:pt idx="42">
                  <c:v>28</c:v>
                </c:pt>
                <c:pt idx="43">
                  <c:v>30</c:v>
                </c:pt>
                <c:pt idx="44">
                  <c:v>27</c:v>
                </c:pt>
                <c:pt idx="45">
                  <c:v>29</c:v>
                </c:pt>
                <c:pt idx="46">
                  <c:v>28</c:v>
                </c:pt>
                <c:pt idx="47">
                  <c:v>28</c:v>
                </c:pt>
                <c:pt idx="48">
                  <c:v>28</c:v>
                </c:pt>
                <c:pt idx="49">
                  <c:v>27</c:v>
                </c:pt>
                <c:pt idx="50">
                  <c:v>28</c:v>
                </c:pt>
                <c:pt idx="51">
                  <c:v>28</c:v>
                </c:pt>
                <c:pt idx="52">
                  <c:v>28</c:v>
                </c:pt>
                <c:pt idx="53">
                  <c:v>28</c:v>
                </c:pt>
                <c:pt idx="54">
                  <c:v>31</c:v>
                </c:pt>
                <c:pt idx="55">
                  <c:v>28</c:v>
                </c:pt>
                <c:pt idx="56">
                  <c:v>27</c:v>
                </c:pt>
                <c:pt idx="57">
                  <c:v>29</c:v>
                </c:pt>
                <c:pt idx="58">
                  <c:v>28</c:v>
                </c:pt>
                <c:pt idx="59">
                  <c:v>29</c:v>
                </c:pt>
                <c:pt idx="60">
                  <c:v>29</c:v>
                </c:pt>
                <c:pt idx="61">
                  <c:v>29</c:v>
                </c:pt>
                <c:pt idx="62">
                  <c:v>28</c:v>
                </c:pt>
                <c:pt idx="63">
                  <c:v>28</c:v>
                </c:pt>
                <c:pt idx="64">
                  <c:v>27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DD7-440C-A712-E6877EBD9304}"/>
            </c:ext>
          </c:extLst>
        </c:ser>
        <c:ser>
          <c:idx val="0"/>
          <c:order val="4"/>
          <c:tx>
            <c:strRef>
              <c:f>'parallel vs header-seeker-6'!$G$1</c:f>
              <c:strCache>
                <c:ptCount val="1"/>
                <c:pt idx="0">
                  <c:v>HS6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'parallel vs header-seeker-6'!$A$2:$A$66</c:f>
              <c:numCache>
                <c:formatCode>General</c:formatCode>
                <c:ptCount val="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</c:numCache>
              <c:extLst xmlns:c15="http://schemas.microsoft.com/office/drawing/2012/chart"/>
            </c:numRef>
          </c:xVal>
          <c:yVal>
            <c:numRef>
              <c:f>'parallel vs header-seeker-6'!$G$2:$G$67</c:f>
              <c:numCache>
                <c:formatCode>General</c:formatCode>
                <c:ptCount val="66"/>
                <c:pt idx="0">
                  <c:v>28</c:v>
                </c:pt>
                <c:pt idx="1">
                  <c:v>29</c:v>
                </c:pt>
                <c:pt idx="2">
                  <c:v>28</c:v>
                </c:pt>
                <c:pt idx="3">
                  <c:v>30</c:v>
                </c:pt>
                <c:pt idx="4">
                  <c:v>29</c:v>
                </c:pt>
                <c:pt idx="5">
                  <c:v>24</c:v>
                </c:pt>
                <c:pt idx="6">
                  <c:v>30</c:v>
                </c:pt>
                <c:pt idx="7">
                  <c:v>29</c:v>
                </c:pt>
                <c:pt idx="8">
                  <c:v>29</c:v>
                </c:pt>
                <c:pt idx="9">
                  <c:v>29</c:v>
                </c:pt>
                <c:pt idx="10">
                  <c:v>30</c:v>
                </c:pt>
                <c:pt idx="11">
                  <c:v>26</c:v>
                </c:pt>
                <c:pt idx="12">
                  <c:v>29</c:v>
                </c:pt>
                <c:pt idx="13">
                  <c:v>29</c:v>
                </c:pt>
                <c:pt idx="14">
                  <c:v>28</c:v>
                </c:pt>
                <c:pt idx="15">
                  <c:v>29</c:v>
                </c:pt>
                <c:pt idx="16">
                  <c:v>30</c:v>
                </c:pt>
                <c:pt idx="17">
                  <c:v>28</c:v>
                </c:pt>
                <c:pt idx="18">
                  <c:v>29</c:v>
                </c:pt>
                <c:pt idx="19">
                  <c:v>28</c:v>
                </c:pt>
                <c:pt idx="20">
                  <c:v>29</c:v>
                </c:pt>
                <c:pt idx="21">
                  <c:v>29</c:v>
                </c:pt>
                <c:pt idx="22">
                  <c:v>30</c:v>
                </c:pt>
                <c:pt idx="23">
                  <c:v>29</c:v>
                </c:pt>
                <c:pt idx="24">
                  <c:v>29</c:v>
                </c:pt>
                <c:pt idx="25">
                  <c:v>28</c:v>
                </c:pt>
                <c:pt idx="26">
                  <c:v>28</c:v>
                </c:pt>
                <c:pt idx="27">
                  <c:v>28</c:v>
                </c:pt>
                <c:pt idx="28">
                  <c:v>29</c:v>
                </c:pt>
                <c:pt idx="29">
                  <c:v>29</c:v>
                </c:pt>
                <c:pt idx="30">
                  <c:v>29</c:v>
                </c:pt>
                <c:pt idx="31">
                  <c:v>29</c:v>
                </c:pt>
                <c:pt idx="32">
                  <c:v>28</c:v>
                </c:pt>
                <c:pt idx="33">
                  <c:v>30</c:v>
                </c:pt>
                <c:pt idx="34">
                  <c:v>29</c:v>
                </c:pt>
                <c:pt idx="35">
                  <c:v>31</c:v>
                </c:pt>
                <c:pt idx="36">
                  <c:v>30</c:v>
                </c:pt>
                <c:pt idx="37">
                  <c:v>29</c:v>
                </c:pt>
                <c:pt idx="38">
                  <c:v>28</c:v>
                </c:pt>
                <c:pt idx="39">
                  <c:v>29</c:v>
                </c:pt>
                <c:pt idx="40">
                  <c:v>29</c:v>
                </c:pt>
                <c:pt idx="41">
                  <c:v>33</c:v>
                </c:pt>
                <c:pt idx="42">
                  <c:v>29</c:v>
                </c:pt>
                <c:pt idx="43">
                  <c:v>29</c:v>
                </c:pt>
                <c:pt idx="44">
                  <c:v>29</c:v>
                </c:pt>
                <c:pt idx="45">
                  <c:v>29</c:v>
                </c:pt>
                <c:pt idx="46">
                  <c:v>29</c:v>
                </c:pt>
                <c:pt idx="47">
                  <c:v>32</c:v>
                </c:pt>
                <c:pt idx="48">
                  <c:v>29</c:v>
                </c:pt>
                <c:pt idx="49">
                  <c:v>29</c:v>
                </c:pt>
                <c:pt idx="50">
                  <c:v>29</c:v>
                </c:pt>
                <c:pt idx="51">
                  <c:v>30</c:v>
                </c:pt>
                <c:pt idx="52">
                  <c:v>30</c:v>
                </c:pt>
                <c:pt idx="53">
                  <c:v>33</c:v>
                </c:pt>
                <c:pt idx="54">
                  <c:v>29</c:v>
                </c:pt>
                <c:pt idx="55">
                  <c:v>29</c:v>
                </c:pt>
                <c:pt idx="56">
                  <c:v>28</c:v>
                </c:pt>
                <c:pt idx="57">
                  <c:v>29</c:v>
                </c:pt>
                <c:pt idx="58">
                  <c:v>30</c:v>
                </c:pt>
                <c:pt idx="59">
                  <c:v>35</c:v>
                </c:pt>
                <c:pt idx="60">
                  <c:v>30</c:v>
                </c:pt>
                <c:pt idx="61">
                  <c:v>29</c:v>
                </c:pt>
                <c:pt idx="62">
                  <c:v>30</c:v>
                </c:pt>
                <c:pt idx="63">
                  <c:v>30</c:v>
                </c:pt>
                <c:pt idx="64">
                  <c:v>29</c:v>
                </c:pt>
                <c:pt idx="65">
                  <c:v>29.25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7DD7-440C-A712-E6877EBD9304}"/>
            </c:ext>
          </c:extLst>
        </c:ser>
        <c:ser>
          <c:idx val="2"/>
          <c:order val="5"/>
          <c:tx>
            <c:strRef>
              <c:f>'parallel vs header-seeker-6'!$H$1</c:f>
              <c:strCache>
                <c:ptCount val="1"/>
                <c:pt idx="0">
                  <c:v>HS3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'parallel vs header-seeker-6'!$A$2:$A$66</c:f>
              <c:numCache>
                <c:formatCode>General</c:formatCode>
                <c:ptCount val="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</c:numCache>
              <c:extLst xmlns:c15="http://schemas.microsoft.com/office/drawing/2012/chart"/>
            </c:numRef>
          </c:xVal>
          <c:yVal>
            <c:numRef>
              <c:f>'parallel vs header-seeker-6'!$H$2:$H$62</c:f>
              <c:numCache>
                <c:formatCode>General</c:formatCode>
                <c:ptCount val="61"/>
                <c:pt idx="0">
                  <c:v>33</c:v>
                </c:pt>
                <c:pt idx="1">
                  <c:v>32</c:v>
                </c:pt>
                <c:pt idx="2">
                  <c:v>24</c:v>
                </c:pt>
                <c:pt idx="3">
                  <c:v>34</c:v>
                </c:pt>
                <c:pt idx="4">
                  <c:v>33</c:v>
                </c:pt>
                <c:pt idx="5">
                  <c:v>25</c:v>
                </c:pt>
                <c:pt idx="6">
                  <c:v>32</c:v>
                </c:pt>
                <c:pt idx="7">
                  <c:v>33</c:v>
                </c:pt>
                <c:pt idx="8">
                  <c:v>26</c:v>
                </c:pt>
                <c:pt idx="9">
                  <c:v>33</c:v>
                </c:pt>
                <c:pt idx="10">
                  <c:v>33</c:v>
                </c:pt>
                <c:pt idx="11">
                  <c:v>26</c:v>
                </c:pt>
                <c:pt idx="12">
                  <c:v>33</c:v>
                </c:pt>
                <c:pt idx="13">
                  <c:v>33</c:v>
                </c:pt>
                <c:pt idx="14">
                  <c:v>28</c:v>
                </c:pt>
                <c:pt idx="15">
                  <c:v>34</c:v>
                </c:pt>
                <c:pt idx="16">
                  <c:v>33</c:v>
                </c:pt>
                <c:pt idx="17">
                  <c:v>30</c:v>
                </c:pt>
                <c:pt idx="18">
                  <c:v>34</c:v>
                </c:pt>
                <c:pt idx="19">
                  <c:v>33</c:v>
                </c:pt>
                <c:pt idx="20">
                  <c:v>29</c:v>
                </c:pt>
                <c:pt idx="21">
                  <c:v>32</c:v>
                </c:pt>
                <c:pt idx="22">
                  <c:v>32</c:v>
                </c:pt>
                <c:pt idx="23">
                  <c:v>31</c:v>
                </c:pt>
                <c:pt idx="24">
                  <c:v>34</c:v>
                </c:pt>
                <c:pt idx="25">
                  <c:v>33</c:v>
                </c:pt>
                <c:pt idx="26">
                  <c:v>32</c:v>
                </c:pt>
                <c:pt idx="27">
                  <c:v>35</c:v>
                </c:pt>
                <c:pt idx="28">
                  <c:v>34</c:v>
                </c:pt>
                <c:pt idx="29">
                  <c:v>33</c:v>
                </c:pt>
                <c:pt idx="30">
                  <c:v>33</c:v>
                </c:pt>
                <c:pt idx="31">
                  <c:v>34</c:v>
                </c:pt>
                <c:pt idx="32">
                  <c:v>34</c:v>
                </c:pt>
                <c:pt idx="33">
                  <c:v>35</c:v>
                </c:pt>
                <c:pt idx="34">
                  <c:v>34</c:v>
                </c:pt>
                <c:pt idx="35">
                  <c:v>36</c:v>
                </c:pt>
                <c:pt idx="36">
                  <c:v>33</c:v>
                </c:pt>
                <c:pt idx="37">
                  <c:v>33</c:v>
                </c:pt>
                <c:pt idx="38">
                  <c:v>37</c:v>
                </c:pt>
                <c:pt idx="39">
                  <c:v>32</c:v>
                </c:pt>
                <c:pt idx="40">
                  <c:v>35</c:v>
                </c:pt>
                <c:pt idx="41">
                  <c:v>38</c:v>
                </c:pt>
                <c:pt idx="42">
                  <c:v>34</c:v>
                </c:pt>
                <c:pt idx="43">
                  <c:v>34</c:v>
                </c:pt>
                <c:pt idx="44">
                  <c:v>38</c:v>
                </c:pt>
                <c:pt idx="45">
                  <c:v>33</c:v>
                </c:pt>
                <c:pt idx="46">
                  <c:v>33</c:v>
                </c:pt>
                <c:pt idx="47">
                  <c:v>40</c:v>
                </c:pt>
                <c:pt idx="48">
                  <c:v>33</c:v>
                </c:pt>
                <c:pt idx="49">
                  <c:v>34</c:v>
                </c:pt>
                <c:pt idx="50">
                  <c:v>40</c:v>
                </c:pt>
                <c:pt idx="51">
                  <c:v>34</c:v>
                </c:pt>
                <c:pt idx="52">
                  <c:v>33</c:v>
                </c:pt>
                <c:pt idx="53">
                  <c:v>41</c:v>
                </c:pt>
                <c:pt idx="54">
                  <c:v>35</c:v>
                </c:pt>
                <c:pt idx="55">
                  <c:v>34</c:v>
                </c:pt>
                <c:pt idx="56">
                  <c:v>42</c:v>
                </c:pt>
                <c:pt idx="57">
                  <c:v>33</c:v>
                </c:pt>
                <c:pt idx="58">
                  <c:v>33</c:v>
                </c:pt>
                <c:pt idx="59">
                  <c:v>44</c:v>
                </c:pt>
                <c:pt idx="60">
                  <c:v>34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7DD7-440C-A712-E6877EBD9304}"/>
            </c:ext>
          </c:extLst>
        </c:ser>
        <c:ser>
          <c:idx val="8"/>
          <c:order val="6"/>
          <c:tx>
            <c:strRef>
              <c:f>'parallel vs header-seeker-6'!$I$1</c:f>
              <c:strCache>
                <c:ptCount val="1"/>
                <c:pt idx="0">
                  <c:v>HS2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'parallel vs header-seeker-6'!$A$2:$A$66</c:f>
              <c:numCache>
                <c:formatCode>General</c:formatCode>
                <c:ptCount val="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</c:numCache>
              <c:extLst xmlns:c15="http://schemas.microsoft.com/office/drawing/2012/chart"/>
            </c:numRef>
          </c:xVal>
          <c:yVal>
            <c:numRef>
              <c:f>'parallel vs header-seeker-6'!$I$2:$I$66</c:f>
              <c:numCache>
                <c:formatCode>General</c:formatCode>
                <c:ptCount val="65"/>
                <c:pt idx="0">
                  <c:v>39</c:v>
                </c:pt>
                <c:pt idx="1">
                  <c:v>38</c:v>
                </c:pt>
                <c:pt idx="2">
                  <c:v>39</c:v>
                </c:pt>
                <c:pt idx="3">
                  <c:v>38</c:v>
                </c:pt>
                <c:pt idx="4">
                  <c:v>39</c:v>
                </c:pt>
                <c:pt idx="5">
                  <c:v>37</c:v>
                </c:pt>
                <c:pt idx="6">
                  <c:v>39</c:v>
                </c:pt>
                <c:pt idx="7">
                  <c:v>40</c:v>
                </c:pt>
                <c:pt idx="8">
                  <c:v>36</c:v>
                </c:pt>
                <c:pt idx="9">
                  <c:v>38</c:v>
                </c:pt>
                <c:pt idx="10">
                  <c:v>39</c:v>
                </c:pt>
                <c:pt idx="11">
                  <c:v>39</c:v>
                </c:pt>
                <c:pt idx="12">
                  <c:v>39</c:v>
                </c:pt>
                <c:pt idx="13">
                  <c:v>37</c:v>
                </c:pt>
                <c:pt idx="14">
                  <c:v>38</c:v>
                </c:pt>
                <c:pt idx="15">
                  <c:v>38</c:v>
                </c:pt>
                <c:pt idx="16">
                  <c:v>38</c:v>
                </c:pt>
                <c:pt idx="17">
                  <c:v>40</c:v>
                </c:pt>
                <c:pt idx="18">
                  <c:v>36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36</c:v>
                </c:pt>
                <c:pt idx="23">
                  <c:v>38</c:v>
                </c:pt>
                <c:pt idx="24">
                  <c:v>36</c:v>
                </c:pt>
                <c:pt idx="25">
                  <c:v>37</c:v>
                </c:pt>
                <c:pt idx="26">
                  <c:v>38</c:v>
                </c:pt>
                <c:pt idx="27">
                  <c:v>37</c:v>
                </c:pt>
                <c:pt idx="28">
                  <c:v>38</c:v>
                </c:pt>
                <c:pt idx="29">
                  <c:v>41</c:v>
                </c:pt>
                <c:pt idx="30">
                  <c:v>37</c:v>
                </c:pt>
                <c:pt idx="31">
                  <c:v>38</c:v>
                </c:pt>
                <c:pt idx="32">
                  <c:v>39</c:v>
                </c:pt>
                <c:pt idx="33">
                  <c:v>37</c:v>
                </c:pt>
                <c:pt idx="34">
                  <c:v>38</c:v>
                </c:pt>
                <c:pt idx="35">
                  <c:v>37</c:v>
                </c:pt>
                <c:pt idx="36">
                  <c:v>38</c:v>
                </c:pt>
                <c:pt idx="37">
                  <c:v>41</c:v>
                </c:pt>
                <c:pt idx="38">
                  <c:v>38</c:v>
                </c:pt>
                <c:pt idx="39">
                  <c:v>38</c:v>
                </c:pt>
                <c:pt idx="40">
                  <c:v>40</c:v>
                </c:pt>
                <c:pt idx="41">
                  <c:v>40</c:v>
                </c:pt>
                <c:pt idx="42">
                  <c:v>39</c:v>
                </c:pt>
                <c:pt idx="43">
                  <c:v>37</c:v>
                </c:pt>
                <c:pt idx="44">
                  <c:v>38</c:v>
                </c:pt>
                <c:pt idx="45">
                  <c:v>40</c:v>
                </c:pt>
                <c:pt idx="46">
                  <c:v>38</c:v>
                </c:pt>
                <c:pt idx="47">
                  <c:v>39</c:v>
                </c:pt>
                <c:pt idx="48">
                  <c:v>38</c:v>
                </c:pt>
                <c:pt idx="49">
                  <c:v>38</c:v>
                </c:pt>
                <c:pt idx="50">
                  <c:v>39</c:v>
                </c:pt>
                <c:pt idx="51">
                  <c:v>39</c:v>
                </c:pt>
                <c:pt idx="52">
                  <c:v>40</c:v>
                </c:pt>
                <c:pt idx="53">
                  <c:v>39</c:v>
                </c:pt>
                <c:pt idx="54">
                  <c:v>40</c:v>
                </c:pt>
                <c:pt idx="55">
                  <c:v>38</c:v>
                </c:pt>
                <c:pt idx="56">
                  <c:v>40</c:v>
                </c:pt>
                <c:pt idx="57">
                  <c:v>39</c:v>
                </c:pt>
                <c:pt idx="58">
                  <c:v>39</c:v>
                </c:pt>
                <c:pt idx="59">
                  <c:v>40</c:v>
                </c:pt>
                <c:pt idx="60">
                  <c:v>39</c:v>
                </c:pt>
                <c:pt idx="61">
                  <c:v>39</c:v>
                </c:pt>
                <c:pt idx="62">
                  <c:v>39</c:v>
                </c:pt>
                <c:pt idx="63">
                  <c:v>39</c:v>
                </c:pt>
                <c:pt idx="64">
                  <c:v>38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7DD7-440C-A712-E6877EBD9304}"/>
            </c:ext>
          </c:extLst>
        </c:ser>
        <c:ser>
          <c:idx val="4"/>
          <c:order val="7"/>
          <c:tx>
            <c:strRef>
              <c:f>'parallel vs header-seeker-6'!$J$1</c:f>
              <c:strCache>
                <c:ptCount val="1"/>
                <c:pt idx="0">
                  <c:v>HS1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5"/>
                </a:solidFill>
                <a:round/>
              </a:ln>
              <a:effectLst/>
            </c:spPr>
          </c:marker>
          <c:xVal>
            <c:numRef>
              <c:f>'parallel vs header-seeker-6'!$A$2:$A$66</c:f>
              <c:numCache>
                <c:formatCode>General</c:formatCode>
                <c:ptCount val="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</c:numCache>
              <c:extLst xmlns:c15="http://schemas.microsoft.com/office/drawing/2012/chart"/>
            </c:numRef>
          </c:xVal>
          <c:yVal>
            <c:numRef>
              <c:f>'parallel vs header-seeker-6'!$J$2:$J$66</c:f>
              <c:numCache>
                <c:formatCode>General</c:formatCode>
                <c:ptCount val="65"/>
                <c:pt idx="0">
                  <c:v>21</c:v>
                </c:pt>
                <c:pt idx="1">
                  <c:v>23</c:v>
                </c:pt>
                <c:pt idx="2">
                  <c:v>23</c:v>
                </c:pt>
                <c:pt idx="3">
                  <c:v>24</c:v>
                </c:pt>
                <c:pt idx="4">
                  <c:v>26</c:v>
                </c:pt>
                <c:pt idx="5">
                  <c:v>27</c:v>
                </c:pt>
                <c:pt idx="6">
                  <c:v>28</c:v>
                </c:pt>
                <c:pt idx="7">
                  <c:v>29</c:v>
                </c:pt>
                <c:pt idx="8">
                  <c:v>30</c:v>
                </c:pt>
                <c:pt idx="9">
                  <c:v>31</c:v>
                </c:pt>
                <c:pt idx="10">
                  <c:v>32</c:v>
                </c:pt>
                <c:pt idx="11">
                  <c:v>33</c:v>
                </c:pt>
                <c:pt idx="12">
                  <c:v>33</c:v>
                </c:pt>
                <c:pt idx="13">
                  <c:v>35</c:v>
                </c:pt>
                <c:pt idx="14">
                  <c:v>35</c:v>
                </c:pt>
                <c:pt idx="15">
                  <c:v>37</c:v>
                </c:pt>
                <c:pt idx="16">
                  <c:v>38</c:v>
                </c:pt>
                <c:pt idx="17">
                  <c:v>39</c:v>
                </c:pt>
                <c:pt idx="18">
                  <c:v>41</c:v>
                </c:pt>
                <c:pt idx="19">
                  <c:v>41</c:v>
                </c:pt>
                <c:pt idx="20">
                  <c:v>42</c:v>
                </c:pt>
                <c:pt idx="21">
                  <c:v>42</c:v>
                </c:pt>
                <c:pt idx="22">
                  <c:v>43</c:v>
                </c:pt>
                <c:pt idx="23">
                  <c:v>45</c:v>
                </c:pt>
                <c:pt idx="24">
                  <c:v>48</c:v>
                </c:pt>
                <c:pt idx="25">
                  <c:v>46</c:v>
                </c:pt>
                <c:pt idx="26">
                  <c:v>47</c:v>
                </c:pt>
                <c:pt idx="27">
                  <c:v>48</c:v>
                </c:pt>
                <c:pt idx="28">
                  <c:v>50</c:v>
                </c:pt>
                <c:pt idx="29">
                  <c:v>52</c:v>
                </c:pt>
                <c:pt idx="30">
                  <c:v>51</c:v>
                </c:pt>
                <c:pt idx="31">
                  <c:v>54</c:v>
                </c:pt>
                <c:pt idx="32">
                  <c:v>53</c:v>
                </c:pt>
                <c:pt idx="33">
                  <c:v>55</c:v>
                </c:pt>
                <c:pt idx="34">
                  <c:v>55</c:v>
                </c:pt>
                <c:pt idx="35">
                  <c:v>55</c:v>
                </c:pt>
                <c:pt idx="36">
                  <c:v>61</c:v>
                </c:pt>
                <c:pt idx="37">
                  <c:v>59</c:v>
                </c:pt>
                <c:pt idx="38">
                  <c:v>59</c:v>
                </c:pt>
                <c:pt idx="39">
                  <c:v>60</c:v>
                </c:pt>
                <c:pt idx="40">
                  <c:v>63</c:v>
                </c:pt>
                <c:pt idx="41">
                  <c:v>63</c:v>
                </c:pt>
                <c:pt idx="42">
                  <c:v>63</c:v>
                </c:pt>
                <c:pt idx="43">
                  <c:v>66</c:v>
                </c:pt>
                <c:pt idx="44">
                  <c:v>67</c:v>
                </c:pt>
                <c:pt idx="45">
                  <c:v>67</c:v>
                </c:pt>
                <c:pt idx="46">
                  <c:v>68</c:v>
                </c:pt>
                <c:pt idx="47">
                  <c:v>69</c:v>
                </c:pt>
                <c:pt idx="48">
                  <c:v>71</c:v>
                </c:pt>
                <c:pt idx="49">
                  <c:v>70</c:v>
                </c:pt>
                <c:pt idx="50">
                  <c:v>72</c:v>
                </c:pt>
                <c:pt idx="51">
                  <c:v>72</c:v>
                </c:pt>
                <c:pt idx="52">
                  <c:v>74</c:v>
                </c:pt>
                <c:pt idx="53">
                  <c:v>76</c:v>
                </c:pt>
                <c:pt idx="54">
                  <c:v>78</c:v>
                </c:pt>
                <c:pt idx="55">
                  <c:v>76</c:v>
                </c:pt>
                <c:pt idx="56">
                  <c:v>78</c:v>
                </c:pt>
                <c:pt idx="57">
                  <c:v>79</c:v>
                </c:pt>
                <c:pt idx="58">
                  <c:v>78</c:v>
                </c:pt>
                <c:pt idx="59">
                  <c:v>82</c:v>
                </c:pt>
                <c:pt idx="60">
                  <c:v>82</c:v>
                </c:pt>
                <c:pt idx="61">
                  <c:v>86</c:v>
                </c:pt>
                <c:pt idx="62">
                  <c:v>87</c:v>
                </c:pt>
                <c:pt idx="63">
                  <c:v>86</c:v>
                </c:pt>
                <c:pt idx="64">
                  <c:v>85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7DD7-440C-A712-E6877EBD9304}"/>
            </c:ext>
          </c:extLst>
        </c:ser>
        <c:ser>
          <c:idx val="3"/>
          <c:order val="8"/>
          <c:tx>
            <c:strRef>
              <c:f>'parallel vs header-seeker-6'!$K$1</c:f>
              <c:strCache>
                <c:ptCount val="1"/>
                <c:pt idx="0">
                  <c:v>Original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746"/>
              </a:solidFill>
              <a:ln w="9525">
                <a:noFill/>
                <a:round/>
              </a:ln>
              <a:effectLst/>
            </c:spPr>
          </c:marker>
          <c:xVal>
            <c:numRef>
              <c:f>'parallel vs header-seeker-6'!$A$2:$A$66</c:f>
              <c:numCache>
                <c:formatCode>General</c:formatCode>
                <c:ptCount val="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</c:numCache>
            </c:numRef>
          </c:xVal>
          <c:yVal>
            <c:numRef>
              <c:f>'parallel vs header-seeker-6'!$K$2:$K$66</c:f>
              <c:numCache>
                <c:formatCode>General</c:formatCode>
                <c:ptCount val="65"/>
                <c:pt idx="0">
                  <c:v>69</c:v>
                </c:pt>
                <c:pt idx="1">
                  <c:v>105</c:v>
                </c:pt>
                <c:pt idx="2">
                  <c:v>184</c:v>
                </c:pt>
                <c:pt idx="3">
                  <c:v>255</c:v>
                </c:pt>
                <c:pt idx="4">
                  <c:v>343</c:v>
                </c:pt>
                <c:pt idx="5">
                  <c:v>428</c:v>
                </c:pt>
                <c:pt idx="6">
                  <c:v>487</c:v>
                </c:pt>
                <c:pt idx="7">
                  <c:v>558</c:v>
                </c:pt>
                <c:pt idx="8">
                  <c:v>635</c:v>
                </c:pt>
                <c:pt idx="9">
                  <c:v>738</c:v>
                </c:pt>
                <c:pt idx="10">
                  <c:v>798</c:v>
                </c:pt>
                <c:pt idx="11">
                  <c:v>874</c:v>
                </c:pt>
                <c:pt idx="12">
                  <c:v>980</c:v>
                </c:pt>
                <c:pt idx="13">
                  <c:v>1031</c:v>
                </c:pt>
                <c:pt idx="14">
                  <c:v>1106</c:v>
                </c:pt>
                <c:pt idx="15">
                  <c:v>1206</c:v>
                </c:pt>
                <c:pt idx="16">
                  <c:v>1256</c:v>
                </c:pt>
                <c:pt idx="17">
                  <c:v>1372</c:v>
                </c:pt>
                <c:pt idx="18">
                  <c:v>1425</c:v>
                </c:pt>
                <c:pt idx="19">
                  <c:v>1526</c:v>
                </c:pt>
                <c:pt idx="20">
                  <c:v>1557</c:v>
                </c:pt>
                <c:pt idx="21">
                  <c:v>1681</c:v>
                </c:pt>
                <c:pt idx="22">
                  <c:v>1758</c:v>
                </c:pt>
                <c:pt idx="23">
                  <c:v>1837</c:v>
                </c:pt>
                <c:pt idx="24">
                  <c:v>1927</c:v>
                </c:pt>
                <c:pt idx="25">
                  <c:v>1999</c:v>
                </c:pt>
                <c:pt idx="26">
                  <c:v>2098</c:v>
                </c:pt>
                <c:pt idx="27">
                  <c:v>2138</c:v>
                </c:pt>
                <c:pt idx="28">
                  <c:v>2206</c:v>
                </c:pt>
                <c:pt idx="29">
                  <c:v>2345</c:v>
                </c:pt>
                <c:pt idx="30">
                  <c:v>2405</c:v>
                </c:pt>
                <c:pt idx="31">
                  <c:v>2441</c:v>
                </c:pt>
                <c:pt idx="32">
                  <c:v>2541</c:v>
                </c:pt>
                <c:pt idx="33">
                  <c:v>2644</c:v>
                </c:pt>
                <c:pt idx="34">
                  <c:v>2701</c:v>
                </c:pt>
                <c:pt idx="35">
                  <c:v>2728</c:v>
                </c:pt>
                <c:pt idx="36">
                  <c:v>2826</c:v>
                </c:pt>
                <c:pt idx="37">
                  <c:v>2907</c:v>
                </c:pt>
                <c:pt idx="38">
                  <c:v>3037</c:v>
                </c:pt>
                <c:pt idx="39">
                  <c:v>3012</c:v>
                </c:pt>
                <c:pt idx="40">
                  <c:v>3154</c:v>
                </c:pt>
                <c:pt idx="41">
                  <c:v>3283</c:v>
                </c:pt>
                <c:pt idx="42">
                  <c:v>3310</c:v>
                </c:pt>
                <c:pt idx="43">
                  <c:v>3404</c:v>
                </c:pt>
                <c:pt idx="44">
                  <c:v>3421</c:v>
                </c:pt>
                <c:pt idx="45">
                  <c:v>3592</c:v>
                </c:pt>
                <c:pt idx="46">
                  <c:v>3650</c:v>
                </c:pt>
                <c:pt idx="47">
                  <c:v>3736</c:v>
                </c:pt>
                <c:pt idx="48">
                  <c:v>3811</c:v>
                </c:pt>
                <c:pt idx="49">
                  <c:v>3870</c:v>
                </c:pt>
                <c:pt idx="50">
                  <c:v>3976</c:v>
                </c:pt>
                <c:pt idx="51">
                  <c:v>4005</c:v>
                </c:pt>
                <c:pt idx="52">
                  <c:v>4083</c:v>
                </c:pt>
                <c:pt idx="53">
                  <c:v>4162</c:v>
                </c:pt>
                <c:pt idx="54">
                  <c:v>4289</c:v>
                </c:pt>
                <c:pt idx="55">
                  <c:v>4330</c:v>
                </c:pt>
                <c:pt idx="56">
                  <c:v>4417</c:v>
                </c:pt>
                <c:pt idx="57">
                  <c:v>4500</c:v>
                </c:pt>
                <c:pt idx="58">
                  <c:v>4571</c:v>
                </c:pt>
                <c:pt idx="59">
                  <c:v>4631</c:v>
                </c:pt>
                <c:pt idx="60">
                  <c:v>4727</c:v>
                </c:pt>
                <c:pt idx="61">
                  <c:v>2526</c:v>
                </c:pt>
                <c:pt idx="62">
                  <c:v>2371</c:v>
                </c:pt>
                <c:pt idx="63">
                  <c:v>2294</c:v>
                </c:pt>
                <c:pt idx="64">
                  <c:v>1685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7DD7-440C-A712-E6877EBD93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772784"/>
        <c:axId val="136774448"/>
        <c:extLst/>
      </c:scatterChart>
      <c:valAx>
        <c:axId val="136772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774448"/>
        <c:crosses val="autoZero"/>
        <c:crossBetween val="midCat"/>
      </c:valAx>
      <c:valAx>
        <c:axId val="136774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66b Blocks Lost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7727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Blocks Lost During Resync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'parallel vs header-seeker-6'!$C$1</c:f>
              <c:strCache>
                <c:ptCount val="1"/>
                <c:pt idx="0">
                  <c:v>FP</c:v>
                </c:pt>
              </c:strCache>
              <c:extLst xmlns:c15="http://schemas.microsoft.com/office/drawing/2012/chart"/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EF6C00"/>
              </a:solidFill>
              <a:ln w="9525">
                <a:noFill/>
                <a:round/>
              </a:ln>
              <a:effectLst/>
            </c:spPr>
          </c:marker>
          <c:xVal>
            <c:numRef>
              <c:f>'parallel vs header-seeker-6'!$A$2:$A$12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</c:numCache>
            </c:numRef>
          </c:xVal>
          <c:yVal>
            <c:numRef>
              <c:f>'parallel vs header-seeker-6'!$C$2:$C$12</c:f>
              <c:numCache>
                <c:formatCode>General</c:formatCode>
                <c:ptCount val="11"/>
                <c:pt idx="0">
                  <c:v>26</c:v>
                </c:pt>
                <c:pt idx="1">
                  <c:v>26</c:v>
                </c:pt>
                <c:pt idx="2">
                  <c:v>26</c:v>
                </c:pt>
                <c:pt idx="3">
                  <c:v>26</c:v>
                </c:pt>
                <c:pt idx="4">
                  <c:v>27</c:v>
                </c:pt>
                <c:pt idx="5">
                  <c:v>26</c:v>
                </c:pt>
                <c:pt idx="6">
                  <c:v>26</c:v>
                </c:pt>
                <c:pt idx="7">
                  <c:v>26</c:v>
                </c:pt>
                <c:pt idx="8">
                  <c:v>26</c:v>
                </c:pt>
                <c:pt idx="9">
                  <c:v>26</c:v>
                </c:pt>
                <c:pt idx="10">
                  <c:v>26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6448-4262-A1CA-8C1E6A43C262}"/>
            </c:ext>
          </c:extLst>
        </c:ser>
        <c:ser>
          <c:idx val="0"/>
          <c:order val="4"/>
          <c:tx>
            <c:strRef>
              <c:f>'parallel vs header-seeker-6'!$G$1</c:f>
              <c:strCache>
                <c:ptCount val="1"/>
                <c:pt idx="0">
                  <c:v>HS6</c:v>
                </c:pt>
              </c:strCache>
              <c:extLst xmlns:c15="http://schemas.microsoft.com/office/drawing/2012/chart"/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CB6AC"/>
              </a:solidFill>
              <a:ln w="9525">
                <a:noFill/>
                <a:round/>
              </a:ln>
              <a:effectLst/>
            </c:spPr>
          </c:marker>
          <c:xVal>
            <c:numRef>
              <c:f>'parallel vs header-seeker-6'!$A$2:$A$12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</c:numCache>
            </c:numRef>
          </c:xVal>
          <c:yVal>
            <c:numRef>
              <c:f>'parallel vs header-seeker-6'!$G$2:$G$12</c:f>
              <c:numCache>
                <c:formatCode>General</c:formatCode>
                <c:ptCount val="11"/>
                <c:pt idx="0">
                  <c:v>28</c:v>
                </c:pt>
                <c:pt idx="1">
                  <c:v>29</c:v>
                </c:pt>
                <c:pt idx="2">
                  <c:v>28</c:v>
                </c:pt>
                <c:pt idx="3">
                  <c:v>30</c:v>
                </c:pt>
                <c:pt idx="4">
                  <c:v>29</c:v>
                </c:pt>
                <c:pt idx="5">
                  <c:v>24</c:v>
                </c:pt>
                <c:pt idx="6">
                  <c:v>30</c:v>
                </c:pt>
                <c:pt idx="7">
                  <c:v>29</c:v>
                </c:pt>
                <c:pt idx="8">
                  <c:v>29</c:v>
                </c:pt>
                <c:pt idx="9">
                  <c:v>29</c:v>
                </c:pt>
                <c:pt idx="10">
                  <c:v>30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6448-4262-A1CA-8C1E6A43C262}"/>
            </c:ext>
          </c:extLst>
        </c:ser>
        <c:ser>
          <c:idx val="2"/>
          <c:order val="5"/>
          <c:tx>
            <c:strRef>
              <c:f>'parallel vs header-seeker-6'!$H$1</c:f>
              <c:strCache>
                <c:ptCount val="1"/>
                <c:pt idx="0">
                  <c:v>HS3</c:v>
                </c:pt>
              </c:strCache>
              <c:extLst xmlns:c15="http://schemas.microsoft.com/office/drawing/2012/chart"/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E7272"/>
              </a:solidFill>
              <a:ln w="9525">
                <a:noFill/>
                <a:round/>
              </a:ln>
              <a:effectLst/>
            </c:spPr>
          </c:marker>
          <c:xVal>
            <c:numRef>
              <c:f>'parallel vs header-seeker-6'!$A$2:$A$12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</c:numCache>
            </c:numRef>
          </c:xVal>
          <c:yVal>
            <c:numRef>
              <c:f>'parallel vs header-seeker-6'!$H$2:$H$12</c:f>
              <c:numCache>
                <c:formatCode>General</c:formatCode>
                <c:ptCount val="11"/>
                <c:pt idx="0">
                  <c:v>33</c:v>
                </c:pt>
                <c:pt idx="1">
                  <c:v>32</c:v>
                </c:pt>
                <c:pt idx="2">
                  <c:v>24</c:v>
                </c:pt>
                <c:pt idx="3">
                  <c:v>34</c:v>
                </c:pt>
                <c:pt idx="4">
                  <c:v>33</c:v>
                </c:pt>
                <c:pt idx="5">
                  <c:v>25</c:v>
                </c:pt>
                <c:pt idx="6">
                  <c:v>32</c:v>
                </c:pt>
                <c:pt idx="7">
                  <c:v>33</c:v>
                </c:pt>
                <c:pt idx="8">
                  <c:v>26</c:v>
                </c:pt>
                <c:pt idx="9">
                  <c:v>33</c:v>
                </c:pt>
                <c:pt idx="10">
                  <c:v>33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6448-4262-A1CA-8C1E6A43C262}"/>
            </c:ext>
          </c:extLst>
        </c:ser>
        <c:ser>
          <c:idx val="4"/>
          <c:order val="7"/>
          <c:tx>
            <c:strRef>
              <c:f>'parallel vs header-seeker-6'!$J$1</c:f>
              <c:strCache>
                <c:ptCount val="1"/>
                <c:pt idx="0">
                  <c:v>HS1</c:v>
                </c:pt>
              </c:strCache>
              <c:extLst xmlns:c15="http://schemas.microsoft.com/office/drawing/2012/chart"/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24242"/>
              </a:solidFill>
              <a:ln w="9525">
                <a:noFill/>
                <a:round/>
              </a:ln>
              <a:effectLst/>
            </c:spPr>
          </c:marker>
          <c:xVal>
            <c:numRef>
              <c:f>'parallel vs header-seeker-6'!$A$2:$A$12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</c:numCache>
            </c:numRef>
          </c:xVal>
          <c:yVal>
            <c:numRef>
              <c:f>'parallel vs header-seeker-6'!$J$2:$J$12</c:f>
              <c:numCache>
                <c:formatCode>General</c:formatCode>
                <c:ptCount val="11"/>
                <c:pt idx="0">
                  <c:v>21</c:v>
                </c:pt>
                <c:pt idx="1">
                  <c:v>23</c:v>
                </c:pt>
                <c:pt idx="2">
                  <c:v>23</c:v>
                </c:pt>
                <c:pt idx="3">
                  <c:v>24</c:v>
                </c:pt>
                <c:pt idx="4">
                  <c:v>26</c:v>
                </c:pt>
                <c:pt idx="5">
                  <c:v>27</c:v>
                </c:pt>
                <c:pt idx="6">
                  <c:v>28</c:v>
                </c:pt>
                <c:pt idx="7">
                  <c:v>29</c:v>
                </c:pt>
                <c:pt idx="8">
                  <c:v>30</c:v>
                </c:pt>
                <c:pt idx="9">
                  <c:v>31</c:v>
                </c:pt>
                <c:pt idx="10">
                  <c:v>32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6448-4262-A1CA-8C1E6A43C2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772784"/>
        <c:axId val="136774448"/>
        <c:extLst>
          <c:ext xmlns:c15="http://schemas.microsoft.com/office/drawing/2012/chart" uri="{02D57815-91ED-43cb-92C2-25804820EDAC}">
            <c15:filteredScatterSeries>
              <c15:ser>
                <c:idx val="5"/>
                <c:order val="1"/>
                <c:tx>
                  <c:strRef>
                    <c:extLst>
                      <c:ext uri="{02D57815-91ED-43cb-92C2-25804820EDAC}">
                        <c15:formulaRef>
                          <c15:sqref>'parallel vs header-seeker-6'!$D$1</c15:sqref>
                        </c15:formulaRef>
                      </c:ext>
                    </c:extLst>
                    <c:strCache>
                      <c:ptCount val="1"/>
                      <c:pt idx="0">
                        <c:v>HS33</c:v>
                      </c:pt>
                    </c:strCache>
                  </c:strRef>
                </c:tx>
                <c:spPr>
                  <a:ln w="952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AC1356"/>
                    </a:solidFill>
                    <a:ln w="9525">
                      <a:noFill/>
                      <a:round/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'parallel vs header-seeker-6'!$A$2:$A$12</c15:sqref>
                        </c15:formulaRef>
                      </c:ext>
                    </c:extLst>
                    <c:numCache>
                      <c:formatCode>General</c:formatCode>
                      <c:ptCount val="11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'parallel vs header-seeker-6'!$D$2:$D$12</c15:sqref>
                        </c15:formulaRef>
                      </c:ext>
                    </c:extLst>
                    <c:numCache>
                      <c:formatCode>General</c:formatCode>
                      <c:ptCount val="11"/>
                      <c:pt idx="0">
                        <c:v>26</c:v>
                      </c:pt>
                      <c:pt idx="1">
                        <c:v>26</c:v>
                      </c:pt>
                      <c:pt idx="2">
                        <c:v>27</c:v>
                      </c:pt>
                      <c:pt idx="3">
                        <c:v>27</c:v>
                      </c:pt>
                      <c:pt idx="4">
                        <c:v>27</c:v>
                      </c:pt>
                      <c:pt idx="5">
                        <c:v>27</c:v>
                      </c:pt>
                      <c:pt idx="6">
                        <c:v>27</c:v>
                      </c:pt>
                      <c:pt idx="7">
                        <c:v>27</c:v>
                      </c:pt>
                      <c:pt idx="8">
                        <c:v>26</c:v>
                      </c:pt>
                      <c:pt idx="9">
                        <c:v>27</c:v>
                      </c:pt>
                      <c:pt idx="10">
                        <c:v>26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6448-4262-A1CA-8C1E6A43C262}"/>
                  </c:ext>
                </c:extLst>
              </c15:ser>
            </c15:filteredScatterSeries>
            <c15:filteredScatterSeries>
              <c15:ser>
                <c:idx val="6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'parallel vs header-seeker-6'!$E$1</c15:sqref>
                        </c15:formulaRef>
                      </c:ext>
                    </c:extLst>
                    <c:strCache>
                      <c:ptCount val="1"/>
                      <c:pt idx="0">
                        <c:v>HS22</c:v>
                      </c:pt>
                    </c:strCache>
                  </c:strRef>
                </c:tx>
                <c:spPr>
                  <a:ln w="952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6A1B9A"/>
                    </a:solidFill>
                    <a:ln w="9525">
                      <a:noFill/>
                      <a:round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'parallel vs header-seeker-6'!$A$2:$A$12</c15:sqref>
                        </c15:formulaRef>
                      </c:ext>
                    </c:extLst>
                    <c:numCache>
                      <c:formatCode>General</c:formatCode>
                      <c:ptCount val="11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'parallel vs header-seeker-6'!$E$2:$E$12</c15:sqref>
                        </c15:formulaRef>
                      </c:ext>
                    </c:extLst>
                    <c:numCache>
                      <c:formatCode>General</c:formatCode>
                      <c:ptCount val="11"/>
                      <c:pt idx="0">
                        <c:v>26</c:v>
                      </c:pt>
                      <c:pt idx="1">
                        <c:v>26</c:v>
                      </c:pt>
                      <c:pt idx="2">
                        <c:v>27</c:v>
                      </c:pt>
                      <c:pt idx="3">
                        <c:v>27</c:v>
                      </c:pt>
                      <c:pt idx="4">
                        <c:v>27</c:v>
                      </c:pt>
                      <c:pt idx="5">
                        <c:v>27</c:v>
                      </c:pt>
                      <c:pt idx="6">
                        <c:v>27</c:v>
                      </c:pt>
                      <c:pt idx="7">
                        <c:v>27</c:v>
                      </c:pt>
                      <c:pt idx="8">
                        <c:v>27</c:v>
                      </c:pt>
                      <c:pt idx="9">
                        <c:v>27</c:v>
                      </c:pt>
                      <c:pt idx="10">
                        <c:v>27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6448-4262-A1CA-8C1E6A43C262}"/>
                  </c:ext>
                </c:extLst>
              </c15:ser>
            </c15:filteredScatterSeries>
            <c15:filteredScatterSeries>
              <c15:ser>
                <c:idx val="7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'parallel vs header-seeker-6'!$F$1</c15:sqref>
                        </c15:formulaRef>
                      </c:ext>
                    </c:extLst>
                    <c:strCache>
                      <c:ptCount val="1"/>
                      <c:pt idx="0">
                        <c:v>HS11</c:v>
                      </c:pt>
                    </c:strCache>
                  </c:strRef>
                </c:tx>
                <c:spPr>
                  <a:ln w="952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273693"/>
                    </a:solidFill>
                    <a:ln w="9525">
                      <a:noFill/>
                      <a:round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'parallel vs header-seeker-6'!$A$2:$A$12</c15:sqref>
                        </c15:formulaRef>
                      </c:ext>
                    </c:extLst>
                    <c:numCache>
                      <c:formatCode>General</c:formatCode>
                      <c:ptCount val="11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'parallel vs header-seeker-6'!$F$2:$F$12</c15:sqref>
                        </c15:formulaRef>
                      </c:ext>
                    </c:extLst>
                    <c:numCache>
                      <c:formatCode>General</c:formatCode>
                      <c:ptCount val="11"/>
                      <c:pt idx="0">
                        <c:v>28</c:v>
                      </c:pt>
                      <c:pt idx="1">
                        <c:v>28</c:v>
                      </c:pt>
                      <c:pt idx="2">
                        <c:v>28</c:v>
                      </c:pt>
                      <c:pt idx="3">
                        <c:v>28</c:v>
                      </c:pt>
                      <c:pt idx="4">
                        <c:v>28</c:v>
                      </c:pt>
                      <c:pt idx="5">
                        <c:v>28</c:v>
                      </c:pt>
                      <c:pt idx="6">
                        <c:v>28</c:v>
                      </c:pt>
                      <c:pt idx="7">
                        <c:v>28</c:v>
                      </c:pt>
                      <c:pt idx="8">
                        <c:v>27</c:v>
                      </c:pt>
                      <c:pt idx="9">
                        <c:v>28</c:v>
                      </c:pt>
                      <c:pt idx="10">
                        <c:v>26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6448-4262-A1CA-8C1E6A43C262}"/>
                  </c:ext>
                </c:extLst>
              </c15:ser>
            </c15:filteredScatterSeries>
            <c15:filteredScatterSeries>
              <c15:ser>
                <c:idx val="8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'parallel vs header-seeker-6'!$I$1</c15:sqref>
                        </c15:formulaRef>
                      </c:ext>
                    </c:extLst>
                    <c:strCache>
                      <c:ptCount val="1"/>
                      <c:pt idx="0">
                        <c:v>HS2</c:v>
                      </c:pt>
                    </c:strCache>
                  </c:strRef>
                </c:tx>
                <c:spPr>
                  <a:ln w="952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1C88E3"/>
                    </a:solidFill>
                    <a:ln w="9525">
                      <a:noFill/>
                      <a:round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'parallel vs header-seeker-6'!$A$2:$A$12</c15:sqref>
                        </c15:formulaRef>
                      </c:ext>
                    </c:extLst>
                    <c:numCache>
                      <c:formatCode>General</c:formatCode>
                      <c:ptCount val="11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'parallel vs header-seeker-6'!$I$2:$I$12</c15:sqref>
                        </c15:formulaRef>
                      </c:ext>
                    </c:extLst>
                    <c:numCache>
                      <c:formatCode>General</c:formatCode>
                      <c:ptCount val="11"/>
                      <c:pt idx="0">
                        <c:v>39</c:v>
                      </c:pt>
                      <c:pt idx="1">
                        <c:v>38</c:v>
                      </c:pt>
                      <c:pt idx="2">
                        <c:v>39</c:v>
                      </c:pt>
                      <c:pt idx="3">
                        <c:v>38</c:v>
                      </c:pt>
                      <c:pt idx="4">
                        <c:v>39</c:v>
                      </c:pt>
                      <c:pt idx="5">
                        <c:v>37</c:v>
                      </c:pt>
                      <c:pt idx="6">
                        <c:v>39</c:v>
                      </c:pt>
                      <c:pt idx="7">
                        <c:v>40</c:v>
                      </c:pt>
                      <c:pt idx="8">
                        <c:v>36</c:v>
                      </c:pt>
                      <c:pt idx="9">
                        <c:v>38</c:v>
                      </c:pt>
                      <c:pt idx="10">
                        <c:v>39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6448-4262-A1CA-8C1E6A43C262}"/>
                  </c:ext>
                </c:extLst>
              </c15:ser>
            </c15:filteredScatterSeries>
            <c15:filteredScatterSeries>
              <c15:ser>
                <c:idx val="3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'parallel vs header-seeker-6'!$K$1</c15:sqref>
                        </c15:formulaRef>
                      </c:ext>
                    </c:extLst>
                    <c:strCache>
                      <c:ptCount val="1"/>
                      <c:pt idx="0">
                        <c:v>Original</c:v>
                      </c:pt>
                    </c:strCache>
                  </c:strRef>
                </c:tx>
                <c:spPr>
                  <a:ln w="952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C746"/>
                    </a:solidFill>
                    <a:ln w="9525">
                      <a:noFill/>
                      <a:round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'parallel vs header-seeker-6'!$A$2:$A$12</c15:sqref>
                        </c15:formulaRef>
                      </c:ext>
                    </c:extLst>
                    <c:numCache>
                      <c:formatCode>General</c:formatCode>
                      <c:ptCount val="11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'parallel vs header-seeker-6'!$K$2:$K$12</c15:sqref>
                        </c15:formulaRef>
                      </c:ext>
                    </c:extLst>
                    <c:numCache>
                      <c:formatCode>General</c:formatCode>
                      <c:ptCount val="11"/>
                      <c:pt idx="0">
                        <c:v>69</c:v>
                      </c:pt>
                      <c:pt idx="1">
                        <c:v>105</c:v>
                      </c:pt>
                      <c:pt idx="2">
                        <c:v>184</c:v>
                      </c:pt>
                      <c:pt idx="3">
                        <c:v>255</c:v>
                      </c:pt>
                      <c:pt idx="4">
                        <c:v>343</c:v>
                      </c:pt>
                      <c:pt idx="5">
                        <c:v>428</c:v>
                      </c:pt>
                      <c:pt idx="6">
                        <c:v>487</c:v>
                      </c:pt>
                      <c:pt idx="7">
                        <c:v>558</c:v>
                      </c:pt>
                      <c:pt idx="8">
                        <c:v>635</c:v>
                      </c:pt>
                      <c:pt idx="9">
                        <c:v>738</c:v>
                      </c:pt>
                      <c:pt idx="10">
                        <c:v>798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448-4262-A1CA-8C1E6A43C262}"/>
                  </c:ext>
                </c:extLst>
              </c15:ser>
            </c15:filteredScatterSeries>
          </c:ext>
        </c:extLst>
      </c:scatterChart>
      <c:valAx>
        <c:axId val="136772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774448"/>
        <c:crosses val="autoZero"/>
        <c:crossBetween val="midCat"/>
      </c:valAx>
      <c:valAx>
        <c:axId val="136774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66b Blocks Lost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7727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Resources Utilized</a:t>
            </a:r>
            <a:r>
              <a:rPr lang="en-US" baseline="0"/>
              <a:t> vs Blocks Lost During Resync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'parallel vs header-seeker-6'!$X$22</c:f>
              <c:strCache>
                <c:ptCount val="1"/>
                <c:pt idx="0">
                  <c:v>Resource Util</c:v>
                </c:pt>
              </c:strCache>
            </c:strRef>
          </c:tx>
          <c:spPr>
            <a:ln w="1905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dPt>
            <c:idx val="0"/>
            <c:marker>
              <c:symbol val="circle"/>
              <c:size val="6"/>
              <c:spPr>
                <a:solidFill>
                  <a:srgbClr val="EF6C00"/>
                </a:solidFill>
                <a:ln w="9525">
                  <a:noFill/>
                  <a:round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FB71-47B5-9B54-16ABE945BAB8}"/>
              </c:ext>
            </c:extLst>
          </c:dPt>
          <c:dPt>
            <c:idx val="1"/>
            <c:marker>
              <c:symbol val="circle"/>
              <c:size val="6"/>
              <c:spPr>
                <a:solidFill>
                  <a:srgbClr val="AC1356"/>
                </a:solidFill>
                <a:ln w="9525">
                  <a:noFill/>
                  <a:round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FB71-47B5-9B54-16ABE945BAB8}"/>
              </c:ext>
            </c:extLst>
          </c:dPt>
          <c:dPt>
            <c:idx val="2"/>
            <c:marker>
              <c:symbol val="circle"/>
              <c:size val="6"/>
              <c:spPr>
                <a:solidFill>
                  <a:srgbClr val="6A1B9A"/>
                </a:solidFill>
                <a:ln w="9525">
                  <a:noFill/>
                  <a:round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FB71-47B5-9B54-16ABE945BAB8}"/>
              </c:ext>
            </c:extLst>
          </c:dPt>
          <c:dPt>
            <c:idx val="3"/>
            <c:marker>
              <c:symbol val="circle"/>
              <c:size val="6"/>
              <c:spPr>
                <a:solidFill>
                  <a:srgbClr val="273693"/>
                </a:solidFill>
                <a:ln w="9525">
                  <a:noFill/>
                  <a:round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FB71-47B5-9B54-16ABE945BAB8}"/>
              </c:ext>
            </c:extLst>
          </c:dPt>
          <c:dPt>
            <c:idx val="4"/>
            <c:marker>
              <c:symbol val="circle"/>
              <c:size val="6"/>
              <c:spPr>
                <a:solidFill>
                  <a:srgbClr val="4CB6AC"/>
                </a:solidFill>
                <a:ln w="9525">
                  <a:noFill/>
                  <a:round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FB71-47B5-9B54-16ABE945BAB8}"/>
              </c:ext>
            </c:extLst>
          </c:dPt>
          <c:dPt>
            <c:idx val="5"/>
            <c:marker>
              <c:symbol val="circle"/>
              <c:size val="6"/>
              <c:spPr>
                <a:solidFill>
                  <a:srgbClr val="FE7272"/>
                </a:solidFill>
                <a:ln w="9525">
                  <a:noFill/>
                  <a:round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FB71-47B5-9B54-16ABE945BAB8}"/>
              </c:ext>
            </c:extLst>
          </c:dPt>
          <c:dPt>
            <c:idx val="6"/>
            <c:marker>
              <c:symbol val="circle"/>
              <c:size val="6"/>
              <c:spPr>
                <a:solidFill>
                  <a:srgbClr val="1C88E3"/>
                </a:solidFill>
                <a:ln w="9525">
                  <a:noFill/>
                  <a:round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FB71-47B5-9B54-16ABE945BAB8}"/>
              </c:ext>
            </c:extLst>
          </c:dPt>
          <c:dPt>
            <c:idx val="7"/>
            <c:marker>
              <c:symbol val="circle"/>
              <c:size val="6"/>
              <c:spPr>
                <a:solidFill>
                  <a:srgbClr val="424242"/>
                </a:solidFill>
                <a:ln w="9525">
                  <a:noFill/>
                  <a:round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FB71-47B5-9B54-16ABE945BAB8}"/>
              </c:ext>
            </c:extLst>
          </c:dPt>
          <c:xVal>
            <c:numRef>
              <c:f>'parallel vs header-seeker-6'!$Y$21:$AF$21</c:f>
              <c:numCache>
                <c:formatCode>General</c:formatCode>
                <c:ptCount val="8"/>
                <c:pt idx="0">
                  <c:v>26.5</c:v>
                </c:pt>
                <c:pt idx="1">
                  <c:v>27.5</c:v>
                </c:pt>
                <c:pt idx="2">
                  <c:v>27.5</c:v>
                </c:pt>
                <c:pt idx="3">
                  <c:v>28</c:v>
                </c:pt>
                <c:pt idx="4">
                  <c:v>29.5</c:v>
                </c:pt>
                <c:pt idx="5">
                  <c:v>33.5</c:v>
                </c:pt>
                <c:pt idx="6">
                  <c:v>39</c:v>
                </c:pt>
                <c:pt idx="7">
                  <c:v>54</c:v>
                </c:pt>
              </c:numCache>
            </c:numRef>
          </c:xVal>
          <c:yVal>
            <c:numRef>
              <c:f>'parallel vs header-seeker-6'!$Y$22:$AF$22</c:f>
              <c:numCache>
                <c:formatCode>0.00%</c:formatCode>
                <c:ptCount val="8"/>
                <c:pt idx="0">
                  <c:v>1.47E-2</c:v>
                </c:pt>
                <c:pt idx="1">
                  <c:v>1.0699999999999999E-2</c:v>
                </c:pt>
                <c:pt idx="2">
                  <c:v>9.4000000000000004E-3</c:v>
                </c:pt>
                <c:pt idx="3">
                  <c:v>7.7000000000000002E-3</c:v>
                </c:pt>
                <c:pt idx="4">
                  <c:v>7.4999999999999997E-3</c:v>
                </c:pt>
                <c:pt idx="5">
                  <c:v>6.7000000000000002E-3</c:v>
                </c:pt>
                <c:pt idx="6">
                  <c:v>5.7999999999999996E-3</c:v>
                </c:pt>
                <c:pt idx="7">
                  <c:v>5.4000000000000003E-3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B71-47B5-9B54-16ABE945BA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6251871"/>
        <c:axId val="1126249791"/>
      </c:scatterChart>
      <c:valAx>
        <c:axId val="11262518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</a:t>
                </a:r>
                <a:r>
                  <a:rPr lang="en-US" baseline="0"/>
                  <a:t> # of Blocks Lost During Resynchronization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6249791"/>
        <c:crosses val="autoZero"/>
        <c:crossBetween val="midCat"/>
      </c:valAx>
      <c:valAx>
        <c:axId val="11262497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LUT Resource Utilization of Kintex 7 T160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62518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Offsets of </a:t>
            </a:r>
            <a:r>
              <a:rPr lang="en-US" i="1" baseline="0"/>
              <a:t>3m </a:t>
            </a:r>
            <a:r>
              <a:rPr lang="en-US" i="0" baseline="0"/>
              <a:t>in </a:t>
            </a:r>
            <a:r>
              <a:rPr lang="en-US" i="1" baseline="0"/>
              <a:t>HS3</a:t>
            </a:r>
            <a:endParaRPr lang="en-US" i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Sheet3!$B$1</c:f>
              <c:strCache>
                <c:ptCount val="1"/>
                <c:pt idx="0">
                  <c:v>First Two Offsets of Every Three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FEB8B8"/>
              </a:solidFill>
              <a:ln w="9525">
                <a:noFill/>
                <a:round/>
              </a:ln>
              <a:effectLst/>
            </c:spPr>
          </c:marker>
          <c:xVal>
            <c:numRef>
              <c:f>Sheet3!$A$2:$A$66</c:f>
              <c:numCache>
                <c:formatCode>General</c:formatCode>
                <c:ptCount val="65"/>
                <c:pt idx="0">
                  <c:v>1</c:v>
                </c:pt>
                <c:pt idx="1">
                  <c:v>2</c:v>
                </c:pt>
                <c:pt idx="3">
                  <c:v>4</c:v>
                </c:pt>
                <c:pt idx="4">
                  <c:v>5</c:v>
                </c:pt>
                <c:pt idx="6">
                  <c:v>7</c:v>
                </c:pt>
                <c:pt idx="7">
                  <c:v>8</c:v>
                </c:pt>
                <c:pt idx="9">
                  <c:v>10</c:v>
                </c:pt>
                <c:pt idx="10">
                  <c:v>11</c:v>
                </c:pt>
                <c:pt idx="12">
                  <c:v>13</c:v>
                </c:pt>
                <c:pt idx="13">
                  <c:v>14</c:v>
                </c:pt>
                <c:pt idx="15">
                  <c:v>16</c:v>
                </c:pt>
                <c:pt idx="16">
                  <c:v>17</c:v>
                </c:pt>
                <c:pt idx="18">
                  <c:v>19</c:v>
                </c:pt>
                <c:pt idx="19">
                  <c:v>20</c:v>
                </c:pt>
                <c:pt idx="21">
                  <c:v>22</c:v>
                </c:pt>
                <c:pt idx="22">
                  <c:v>23</c:v>
                </c:pt>
                <c:pt idx="24">
                  <c:v>25</c:v>
                </c:pt>
                <c:pt idx="25">
                  <c:v>26</c:v>
                </c:pt>
                <c:pt idx="27">
                  <c:v>28</c:v>
                </c:pt>
                <c:pt idx="28">
                  <c:v>29</c:v>
                </c:pt>
                <c:pt idx="30">
                  <c:v>31</c:v>
                </c:pt>
                <c:pt idx="31">
                  <c:v>32</c:v>
                </c:pt>
                <c:pt idx="33">
                  <c:v>34</c:v>
                </c:pt>
                <c:pt idx="34">
                  <c:v>35</c:v>
                </c:pt>
                <c:pt idx="36">
                  <c:v>37</c:v>
                </c:pt>
                <c:pt idx="37">
                  <c:v>38</c:v>
                </c:pt>
                <c:pt idx="39">
                  <c:v>40</c:v>
                </c:pt>
                <c:pt idx="40">
                  <c:v>41</c:v>
                </c:pt>
                <c:pt idx="42">
                  <c:v>43</c:v>
                </c:pt>
                <c:pt idx="43">
                  <c:v>44</c:v>
                </c:pt>
                <c:pt idx="45">
                  <c:v>46</c:v>
                </c:pt>
                <c:pt idx="46">
                  <c:v>47</c:v>
                </c:pt>
                <c:pt idx="48">
                  <c:v>49</c:v>
                </c:pt>
                <c:pt idx="49">
                  <c:v>50</c:v>
                </c:pt>
                <c:pt idx="51">
                  <c:v>52</c:v>
                </c:pt>
                <c:pt idx="52">
                  <c:v>53</c:v>
                </c:pt>
                <c:pt idx="54">
                  <c:v>55</c:v>
                </c:pt>
                <c:pt idx="55">
                  <c:v>56</c:v>
                </c:pt>
                <c:pt idx="57">
                  <c:v>58</c:v>
                </c:pt>
                <c:pt idx="58">
                  <c:v>59</c:v>
                </c:pt>
                <c:pt idx="60">
                  <c:v>61</c:v>
                </c:pt>
                <c:pt idx="61">
                  <c:v>62</c:v>
                </c:pt>
                <c:pt idx="63">
                  <c:v>64</c:v>
                </c:pt>
                <c:pt idx="64">
                  <c:v>65</c:v>
                </c:pt>
              </c:numCache>
            </c:numRef>
          </c:xVal>
          <c:yVal>
            <c:numRef>
              <c:f>Sheet3!$B$2:$B$66</c:f>
              <c:numCache>
                <c:formatCode>General</c:formatCode>
                <c:ptCount val="65"/>
                <c:pt idx="0">
                  <c:v>33</c:v>
                </c:pt>
                <c:pt idx="1">
                  <c:v>32</c:v>
                </c:pt>
                <c:pt idx="3">
                  <c:v>34</c:v>
                </c:pt>
                <c:pt idx="4">
                  <c:v>33</c:v>
                </c:pt>
                <c:pt idx="6">
                  <c:v>32</c:v>
                </c:pt>
                <c:pt idx="7">
                  <c:v>33</c:v>
                </c:pt>
                <c:pt idx="9">
                  <c:v>33</c:v>
                </c:pt>
                <c:pt idx="10">
                  <c:v>33</c:v>
                </c:pt>
                <c:pt idx="12">
                  <c:v>33</c:v>
                </c:pt>
                <c:pt idx="13">
                  <c:v>33</c:v>
                </c:pt>
                <c:pt idx="15">
                  <c:v>34</c:v>
                </c:pt>
                <c:pt idx="16">
                  <c:v>33</c:v>
                </c:pt>
                <c:pt idx="18">
                  <c:v>34</c:v>
                </c:pt>
                <c:pt idx="19">
                  <c:v>33</c:v>
                </c:pt>
                <c:pt idx="21">
                  <c:v>32</c:v>
                </c:pt>
                <c:pt idx="22">
                  <c:v>32</c:v>
                </c:pt>
                <c:pt idx="24">
                  <c:v>34</c:v>
                </c:pt>
                <c:pt idx="25">
                  <c:v>33</c:v>
                </c:pt>
                <c:pt idx="27">
                  <c:v>35</c:v>
                </c:pt>
                <c:pt idx="28">
                  <c:v>34</c:v>
                </c:pt>
                <c:pt idx="30">
                  <c:v>33</c:v>
                </c:pt>
                <c:pt idx="31">
                  <c:v>34</c:v>
                </c:pt>
                <c:pt idx="33">
                  <c:v>35</c:v>
                </c:pt>
                <c:pt idx="34">
                  <c:v>34</c:v>
                </c:pt>
                <c:pt idx="36">
                  <c:v>33</c:v>
                </c:pt>
                <c:pt idx="37">
                  <c:v>33</c:v>
                </c:pt>
                <c:pt idx="39">
                  <c:v>32</c:v>
                </c:pt>
                <c:pt idx="40">
                  <c:v>35</c:v>
                </c:pt>
                <c:pt idx="42">
                  <c:v>34</c:v>
                </c:pt>
                <c:pt idx="43">
                  <c:v>34</c:v>
                </c:pt>
                <c:pt idx="45">
                  <c:v>33</c:v>
                </c:pt>
                <c:pt idx="46">
                  <c:v>33</c:v>
                </c:pt>
                <c:pt idx="48">
                  <c:v>33</c:v>
                </c:pt>
                <c:pt idx="49">
                  <c:v>34</c:v>
                </c:pt>
                <c:pt idx="51">
                  <c:v>34</c:v>
                </c:pt>
                <c:pt idx="52">
                  <c:v>33</c:v>
                </c:pt>
                <c:pt idx="54">
                  <c:v>35</c:v>
                </c:pt>
                <c:pt idx="55">
                  <c:v>34</c:v>
                </c:pt>
                <c:pt idx="57">
                  <c:v>33</c:v>
                </c:pt>
                <c:pt idx="58">
                  <c:v>33</c:v>
                </c:pt>
                <c:pt idx="60">
                  <c:v>34</c:v>
                </c:pt>
                <c:pt idx="61">
                  <c:v>34</c:v>
                </c:pt>
                <c:pt idx="63">
                  <c:v>33</c:v>
                </c:pt>
                <c:pt idx="64">
                  <c:v>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2B3-40B7-B689-EA7AC1E0601D}"/>
            </c:ext>
          </c:extLst>
        </c:ser>
        <c:ser>
          <c:idx val="0"/>
          <c:order val="1"/>
          <c:tx>
            <c:strRef>
              <c:f>Sheet3!$E$1</c:f>
              <c:strCache>
                <c:ptCount val="1"/>
                <c:pt idx="0">
                  <c:v>Every Third Offset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D0707"/>
              </a:solidFill>
              <a:ln w="9525">
                <a:noFill/>
                <a:round/>
              </a:ln>
              <a:effectLst/>
            </c:spPr>
          </c:marker>
          <c:xVal>
            <c:numRef>
              <c:f>Sheet3!$D$2:$D$22</c:f>
              <c:numCache>
                <c:formatCode>General</c:formatCode>
                <c:ptCount val="21"/>
                <c:pt idx="0">
                  <c:v>3</c:v>
                </c:pt>
                <c:pt idx="1">
                  <c:v>6</c:v>
                </c:pt>
                <c:pt idx="2">
                  <c:v>9</c:v>
                </c:pt>
                <c:pt idx="3">
                  <c:v>12</c:v>
                </c:pt>
                <c:pt idx="4">
                  <c:v>15</c:v>
                </c:pt>
                <c:pt idx="5">
                  <c:v>18</c:v>
                </c:pt>
                <c:pt idx="6">
                  <c:v>21</c:v>
                </c:pt>
                <c:pt idx="7">
                  <c:v>24</c:v>
                </c:pt>
                <c:pt idx="8">
                  <c:v>27</c:v>
                </c:pt>
                <c:pt idx="9">
                  <c:v>30</c:v>
                </c:pt>
                <c:pt idx="10">
                  <c:v>33</c:v>
                </c:pt>
                <c:pt idx="11">
                  <c:v>36</c:v>
                </c:pt>
                <c:pt idx="12">
                  <c:v>39</c:v>
                </c:pt>
                <c:pt idx="13">
                  <c:v>42</c:v>
                </c:pt>
                <c:pt idx="14">
                  <c:v>45</c:v>
                </c:pt>
                <c:pt idx="15">
                  <c:v>48</c:v>
                </c:pt>
                <c:pt idx="16">
                  <c:v>51</c:v>
                </c:pt>
                <c:pt idx="17">
                  <c:v>54</c:v>
                </c:pt>
                <c:pt idx="18">
                  <c:v>57</c:v>
                </c:pt>
                <c:pt idx="19">
                  <c:v>60</c:v>
                </c:pt>
                <c:pt idx="20">
                  <c:v>63</c:v>
                </c:pt>
              </c:numCache>
            </c:numRef>
          </c:xVal>
          <c:yVal>
            <c:numRef>
              <c:f>Sheet3!$E$2:$E$22</c:f>
              <c:numCache>
                <c:formatCode>General</c:formatCode>
                <c:ptCount val="21"/>
                <c:pt idx="0">
                  <c:v>24</c:v>
                </c:pt>
                <c:pt idx="1">
                  <c:v>25</c:v>
                </c:pt>
                <c:pt idx="2">
                  <c:v>26</c:v>
                </c:pt>
                <c:pt idx="3">
                  <c:v>26</c:v>
                </c:pt>
                <c:pt idx="4">
                  <c:v>28</c:v>
                </c:pt>
                <c:pt idx="5">
                  <c:v>30</c:v>
                </c:pt>
                <c:pt idx="6">
                  <c:v>29</c:v>
                </c:pt>
                <c:pt idx="7">
                  <c:v>31</c:v>
                </c:pt>
                <c:pt idx="8">
                  <c:v>32</c:v>
                </c:pt>
                <c:pt idx="9">
                  <c:v>33</c:v>
                </c:pt>
                <c:pt idx="10">
                  <c:v>34</c:v>
                </c:pt>
                <c:pt idx="11">
                  <c:v>36</c:v>
                </c:pt>
                <c:pt idx="12">
                  <c:v>37</c:v>
                </c:pt>
                <c:pt idx="13">
                  <c:v>38</c:v>
                </c:pt>
                <c:pt idx="14">
                  <c:v>38</c:v>
                </c:pt>
                <c:pt idx="15">
                  <c:v>40</c:v>
                </c:pt>
                <c:pt idx="16">
                  <c:v>40</c:v>
                </c:pt>
                <c:pt idx="17">
                  <c:v>41</c:v>
                </c:pt>
                <c:pt idx="18">
                  <c:v>42</c:v>
                </c:pt>
                <c:pt idx="19">
                  <c:v>44</c:v>
                </c:pt>
                <c:pt idx="20">
                  <c:v>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2B3-40B7-B689-EA7AC1E060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3145152"/>
        <c:axId val="1993145568"/>
      </c:scatterChart>
      <c:valAx>
        <c:axId val="1993145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</a:t>
                </a:r>
                <a:r>
                  <a:rPr lang="en-US" baseline="0"/>
                  <a:t> Removed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3145568"/>
        <c:crosses val="autoZero"/>
        <c:crossBetween val="midCat"/>
      </c:valAx>
      <c:valAx>
        <c:axId val="199314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</a:t>
                </a:r>
                <a:r>
                  <a:rPr lang="en-US" baseline="0"/>
                  <a:t> of 66b Blocks Lost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31451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5" Type="http://schemas.openxmlformats.org/officeDocument/2006/relationships/chart" Target="../charts/chart25.xml"/><Relationship Id="rId4" Type="http://schemas.openxmlformats.org/officeDocument/2006/relationships/chart" Target="../charts/chart24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.xml"/><Relationship Id="rId2" Type="http://schemas.openxmlformats.org/officeDocument/2006/relationships/chart" Target="../charts/chart28.xml"/><Relationship Id="rId1" Type="http://schemas.openxmlformats.org/officeDocument/2006/relationships/chart" Target="../charts/chart27.xml"/><Relationship Id="rId4" Type="http://schemas.openxmlformats.org/officeDocument/2006/relationships/chart" Target="../charts/chart30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3" Type="http://schemas.openxmlformats.org/officeDocument/2006/relationships/chart" Target="../charts/chart33.xml"/><Relationship Id="rId7" Type="http://schemas.openxmlformats.org/officeDocument/2006/relationships/chart" Target="../charts/chart37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230114</xdr:colOff>
      <xdr:row>0</xdr:row>
      <xdr:rowOff>94915</xdr:rowOff>
    </xdr:from>
    <xdr:to>
      <xdr:col>40</xdr:col>
      <xdr:colOff>517509</xdr:colOff>
      <xdr:row>19</xdr:row>
      <xdr:rowOff>8150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FE468E1-88B8-4B05-A087-FF874A4869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31</xdr:col>
      <xdr:colOff>195942</xdr:colOff>
      <xdr:row>19</xdr:row>
      <xdr:rowOff>48986</xdr:rowOff>
    </xdr:from>
    <xdr:to>
      <xdr:col>40</xdr:col>
      <xdr:colOff>522513</xdr:colOff>
      <xdr:row>36</xdr:row>
      <xdr:rowOff>130629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C9495CA-D001-48AE-BBDF-D7F1CA3864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152398</xdr:colOff>
      <xdr:row>37</xdr:row>
      <xdr:rowOff>92528</xdr:rowOff>
    </xdr:from>
    <xdr:to>
      <xdr:col>40</xdr:col>
      <xdr:colOff>511627</xdr:colOff>
      <xdr:row>56</xdr:row>
      <xdr:rowOff>87086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F1F377C-64E4-48D5-8EDE-47395181FA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228599</xdr:colOff>
      <xdr:row>57</xdr:row>
      <xdr:rowOff>146957</xdr:rowOff>
    </xdr:from>
    <xdr:to>
      <xdr:col>40</xdr:col>
      <xdr:colOff>544285</xdr:colOff>
      <xdr:row>77</xdr:row>
      <xdr:rowOff>54428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DB5D5C03-56F6-4A04-B5F9-2B4CFCCAD9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494805</xdr:colOff>
      <xdr:row>0</xdr:row>
      <xdr:rowOff>54428</xdr:rowOff>
    </xdr:from>
    <xdr:to>
      <xdr:col>27</xdr:col>
      <xdr:colOff>587828</xdr:colOff>
      <xdr:row>18</xdr:row>
      <xdr:rowOff>65314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8366457-F0D5-4D76-BEBC-BBF36DBAF9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533399</xdr:colOff>
      <xdr:row>19</xdr:row>
      <xdr:rowOff>70756</xdr:rowOff>
    </xdr:from>
    <xdr:to>
      <xdr:col>27</xdr:col>
      <xdr:colOff>598714</xdr:colOff>
      <xdr:row>36</xdr:row>
      <xdr:rowOff>32656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3864C6A-2CEB-4AD8-BF67-FD915F9099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97970</xdr:colOff>
      <xdr:row>0</xdr:row>
      <xdr:rowOff>114300</xdr:rowOff>
    </xdr:from>
    <xdr:to>
      <xdr:col>36</xdr:col>
      <xdr:colOff>544285</xdr:colOff>
      <xdr:row>18</xdr:row>
      <xdr:rowOff>21771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041C451-C873-4DDB-A746-F19550C242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37</xdr:col>
      <xdr:colOff>43543</xdr:colOff>
      <xdr:row>0</xdr:row>
      <xdr:rowOff>125185</xdr:rowOff>
    </xdr:from>
    <xdr:to>
      <xdr:col>46</xdr:col>
      <xdr:colOff>87086</xdr:colOff>
      <xdr:row>17</xdr:row>
      <xdr:rowOff>130629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980E62D-438F-448A-8041-4511AC7638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28</xdr:col>
      <xdr:colOff>152399</xdr:colOff>
      <xdr:row>19</xdr:row>
      <xdr:rowOff>48985</xdr:rowOff>
    </xdr:from>
    <xdr:to>
      <xdr:col>36</xdr:col>
      <xdr:colOff>424542</xdr:colOff>
      <xdr:row>36</xdr:row>
      <xdr:rowOff>97971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97C2907-3064-4F6F-A3C9-5608DA6CDB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36</xdr:col>
      <xdr:colOff>587828</xdr:colOff>
      <xdr:row>19</xdr:row>
      <xdr:rowOff>27213</xdr:rowOff>
    </xdr:from>
    <xdr:to>
      <xdr:col>46</xdr:col>
      <xdr:colOff>250372</xdr:colOff>
      <xdr:row>36</xdr:row>
      <xdr:rowOff>163285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A8B8DFF4-4DF6-4BB0-B774-62411EF744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144780</xdr:colOff>
      <xdr:row>1</xdr:row>
      <xdr:rowOff>68580</xdr:rowOff>
    </xdr:from>
    <xdr:to>
      <xdr:col>28</xdr:col>
      <xdr:colOff>449580</xdr:colOff>
      <xdr:row>16</xdr:row>
      <xdr:rowOff>68580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2343D3C-4F23-4FFA-883A-1EE7ECB021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205740</xdr:colOff>
      <xdr:row>16</xdr:row>
      <xdr:rowOff>129540</xdr:rowOff>
    </xdr:from>
    <xdr:to>
      <xdr:col>28</xdr:col>
      <xdr:colOff>510540</xdr:colOff>
      <xdr:row>31</xdr:row>
      <xdr:rowOff>129540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D018020-AB3B-4511-9264-8594E759CA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381000</xdr:colOff>
      <xdr:row>32</xdr:row>
      <xdr:rowOff>99060</xdr:rowOff>
    </xdr:from>
    <xdr:to>
      <xdr:col>28</xdr:col>
      <xdr:colOff>76200</xdr:colOff>
      <xdr:row>47</xdr:row>
      <xdr:rowOff>99060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F654597-7091-4B03-91CA-1E6D1FA2BF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0</xdr:colOff>
      <xdr:row>21</xdr:row>
      <xdr:rowOff>0</xdr:rowOff>
    </xdr:from>
    <xdr:to>
      <xdr:col>38</xdr:col>
      <xdr:colOff>304800</xdr:colOff>
      <xdr:row>36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69E5A17-3B3B-4B19-91A5-5B16DD98D0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442632</xdr:colOff>
      <xdr:row>10</xdr:row>
      <xdr:rowOff>51547</xdr:rowOff>
    </xdr:from>
    <xdr:to>
      <xdr:col>15</xdr:col>
      <xdr:colOff>173691</xdr:colOff>
      <xdr:row>33</xdr:row>
      <xdr:rowOff>4482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DE3B911-7D17-D0E7-9066-F4F4A308B5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528918</xdr:colOff>
      <xdr:row>33</xdr:row>
      <xdr:rowOff>116542</xdr:rowOff>
    </xdr:from>
    <xdr:to>
      <xdr:col>15</xdr:col>
      <xdr:colOff>259977</xdr:colOff>
      <xdr:row>56</xdr:row>
      <xdr:rowOff>69477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1150814-DCD7-4C11-9114-91E166B25F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217394</xdr:colOff>
      <xdr:row>62</xdr:row>
      <xdr:rowOff>22412</xdr:rowOff>
    </xdr:from>
    <xdr:to>
      <xdr:col>17</xdr:col>
      <xdr:colOff>475129</xdr:colOff>
      <xdr:row>84</xdr:row>
      <xdr:rowOff>165847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69D45A36-D0AB-43AC-AE7A-0AFB5B6DA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838200</xdr:colOff>
      <xdr:row>1</xdr:row>
      <xdr:rowOff>7620</xdr:rowOff>
    </xdr:from>
    <xdr:to>
      <xdr:col>15</xdr:col>
      <xdr:colOff>198120</xdr:colOff>
      <xdr:row>16</xdr:row>
      <xdr:rowOff>7620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56B1F33-3F7B-482A-9907-477D804F1B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510540</xdr:colOff>
      <xdr:row>16</xdr:row>
      <xdr:rowOff>76200</xdr:rowOff>
    </xdr:from>
    <xdr:to>
      <xdr:col>14</xdr:col>
      <xdr:colOff>480060</xdr:colOff>
      <xdr:row>31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6A01B80-9EB9-4F0A-A7D9-89737510A7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472440</xdr:colOff>
      <xdr:row>31</xdr:row>
      <xdr:rowOff>91440</xdr:rowOff>
    </xdr:from>
    <xdr:to>
      <xdr:col>14</xdr:col>
      <xdr:colOff>441960</xdr:colOff>
      <xdr:row>46</xdr:row>
      <xdr:rowOff>91440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9B36397-5CBE-4CFC-8D2C-AB819527BF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164054</xdr:colOff>
      <xdr:row>0</xdr:row>
      <xdr:rowOff>107129</xdr:rowOff>
    </xdr:from>
    <xdr:to>
      <xdr:col>33</xdr:col>
      <xdr:colOff>439606</xdr:colOff>
      <xdr:row>15</xdr:row>
      <xdr:rowOff>122369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F1200C7-7C81-45AF-ABEB-A0A847908C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198904</xdr:colOff>
      <xdr:row>16</xdr:row>
      <xdr:rowOff>170105</xdr:rowOff>
    </xdr:from>
    <xdr:to>
      <xdr:col>33</xdr:col>
      <xdr:colOff>478266</xdr:colOff>
      <xdr:row>32</xdr:row>
      <xdr:rowOff>21290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F99156D-6FA1-4659-AE88-82EBD027EC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349510</xdr:colOff>
      <xdr:row>33</xdr:row>
      <xdr:rowOff>33617</xdr:rowOff>
    </xdr:from>
    <xdr:to>
      <xdr:col>34</xdr:col>
      <xdr:colOff>300652</xdr:colOff>
      <xdr:row>51</xdr:row>
      <xdr:rowOff>136375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5EE7873A-058E-BBB1-7F4C-8BDCB0C5673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246529</xdr:colOff>
      <xdr:row>52</xdr:row>
      <xdr:rowOff>56030</xdr:rowOff>
    </xdr:from>
    <xdr:to>
      <xdr:col>34</xdr:col>
      <xdr:colOff>190051</xdr:colOff>
      <xdr:row>70</xdr:row>
      <xdr:rowOff>153073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59BF39C-1BA1-4115-9E4B-6FF1A0052E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347382</xdr:colOff>
      <xdr:row>71</xdr:row>
      <xdr:rowOff>123265</xdr:rowOff>
    </xdr:from>
    <xdr:to>
      <xdr:col>34</xdr:col>
      <xdr:colOff>290904</xdr:colOff>
      <xdr:row>90</xdr:row>
      <xdr:rowOff>41013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817AB30-1559-4856-A1AC-3A91CE13DC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62345</xdr:colOff>
      <xdr:row>34</xdr:row>
      <xdr:rowOff>96982</xdr:rowOff>
    </xdr:from>
    <xdr:to>
      <xdr:col>20</xdr:col>
      <xdr:colOff>367145</xdr:colOff>
      <xdr:row>49</xdr:row>
      <xdr:rowOff>138546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19FD008-B3AD-D1C7-D99F-FA79FFE735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480060</xdr:colOff>
      <xdr:row>2</xdr:row>
      <xdr:rowOff>26670</xdr:rowOff>
    </xdr:from>
    <xdr:to>
      <xdr:col>17</xdr:col>
      <xdr:colOff>228600</xdr:colOff>
      <xdr:row>17</xdr:row>
      <xdr:rowOff>26670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E843DD0-48D1-77AC-BC39-70F1491804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556260</xdr:colOff>
      <xdr:row>17</xdr:row>
      <xdr:rowOff>11430</xdr:rowOff>
    </xdr:from>
    <xdr:to>
      <xdr:col>17</xdr:col>
      <xdr:colOff>251460</xdr:colOff>
      <xdr:row>32</xdr:row>
      <xdr:rowOff>11430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59EA798-F104-81F4-51E2-ACF98584BD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403411</xdr:colOff>
      <xdr:row>5</xdr:row>
      <xdr:rowOff>152401</xdr:rowOff>
    </xdr:from>
    <xdr:to>
      <xdr:col>26</xdr:col>
      <xdr:colOff>134470</xdr:colOff>
      <xdr:row>20</xdr:row>
      <xdr:rowOff>38101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B1A2E5D-FF1B-6F42-0D29-FD68EA9203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11205</xdr:colOff>
      <xdr:row>22</xdr:row>
      <xdr:rowOff>73959</xdr:rowOff>
    </xdr:from>
    <xdr:to>
      <xdr:col>26</xdr:col>
      <xdr:colOff>347381</xdr:colOff>
      <xdr:row>36</xdr:row>
      <xdr:rowOff>150159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A73FE22-44BD-25F4-C62C-68903250AC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352425</xdr:colOff>
      <xdr:row>69</xdr:row>
      <xdr:rowOff>80010</xdr:rowOff>
    </xdr:from>
    <xdr:to>
      <xdr:col>10</xdr:col>
      <xdr:colOff>9525</xdr:colOff>
      <xdr:row>84</xdr:row>
      <xdr:rowOff>80010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CBC906CA-5323-1504-A9EA-5FF24D3985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323850</xdr:colOff>
      <xdr:row>84</xdr:row>
      <xdr:rowOff>114300</xdr:rowOff>
    </xdr:from>
    <xdr:to>
      <xdr:col>9</xdr:col>
      <xdr:colOff>371475</xdr:colOff>
      <xdr:row>105</xdr:row>
      <xdr:rowOff>40957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3D6DF5F8-35B9-4EFE-8B3E-34E5FA35DF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590549</xdr:colOff>
      <xdr:row>4</xdr:row>
      <xdr:rowOff>9525</xdr:rowOff>
    </xdr:from>
    <xdr:to>
      <xdr:col>21</xdr:col>
      <xdr:colOff>247650</xdr:colOff>
      <xdr:row>18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8E2421B-2C40-0F63-56AB-8F45FDCDAB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340939</xdr:colOff>
      <xdr:row>4</xdr:row>
      <xdr:rowOff>147357</xdr:rowOff>
    </xdr:from>
    <xdr:to>
      <xdr:col>32</xdr:col>
      <xdr:colOff>484095</xdr:colOff>
      <xdr:row>19</xdr:row>
      <xdr:rowOff>33057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41ECF11-0240-4FD9-58B3-F08407375A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581026</xdr:colOff>
      <xdr:row>24</xdr:row>
      <xdr:rowOff>180975</xdr:rowOff>
    </xdr:from>
    <xdr:to>
      <xdr:col>22</xdr:col>
      <xdr:colOff>38100</xdr:colOff>
      <xdr:row>39</xdr:row>
      <xdr:rowOff>66675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15C1B52F-607F-75FD-82BF-E5457E8BAF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204106</xdr:colOff>
      <xdr:row>24</xdr:row>
      <xdr:rowOff>186417</xdr:rowOff>
    </xdr:from>
    <xdr:to>
      <xdr:col>34</xdr:col>
      <xdr:colOff>204106</xdr:colOff>
      <xdr:row>46</xdr:row>
      <xdr:rowOff>123824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1AEC8EE4-A79C-CC2D-4AC9-5814335EAB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15</xdr:col>
      <xdr:colOff>0</xdr:colOff>
      <xdr:row>85</xdr:row>
      <xdr:rowOff>0</xdr:rowOff>
    </xdr:from>
    <xdr:to>
      <xdr:col>23</xdr:col>
      <xdr:colOff>92448</xdr:colOff>
      <xdr:row>105</xdr:row>
      <xdr:rowOff>117157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BFF0A32F-65CF-4BA1-9EB1-CE333A6573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375557</xdr:colOff>
      <xdr:row>104</xdr:row>
      <xdr:rowOff>129267</xdr:rowOff>
    </xdr:from>
    <xdr:to>
      <xdr:col>10</xdr:col>
      <xdr:colOff>323850</xdr:colOff>
      <xdr:row>125</xdr:row>
      <xdr:rowOff>55924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C2C0E6BF-E921-451A-A7DE-9DCC6F447F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35</xdr:col>
      <xdr:colOff>9525</xdr:colOff>
      <xdr:row>24</xdr:row>
      <xdr:rowOff>133350</xdr:rowOff>
    </xdr:from>
    <xdr:to>
      <xdr:col>47</xdr:col>
      <xdr:colOff>9525</xdr:colOff>
      <xdr:row>46</xdr:row>
      <xdr:rowOff>70757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3D87C972-BFB3-4F5A-AC41-41BF55ACCA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520212</xdr:colOff>
      <xdr:row>5</xdr:row>
      <xdr:rowOff>165222</xdr:rowOff>
    </xdr:from>
    <xdr:to>
      <xdr:col>15</xdr:col>
      <xdr:colOff>216878</xdr:colOff>
      <xdr:row>20</xdr:row>
      <xdr:rowOff>50922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731CC98-476C-C856-2863-133E33C39D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99BBB-FA7F-4D33-9A04-8BEF517C7260}">
  <sheetPr codeName="Sheet1"/>
  <dimension ref="A1:AD198"/>
  <sheetViews>
    <sheetView topLeftCell="S37" zoomScale="70" zoomScaleNormal="70" workbookViewId="0">
      <selection activeCell="AQ18" sqref="AQ18"/>
    </sheetView>
  </sheetViews>
  <sheetFormatPr defaultRowHeight="15" x14ac:dyDescent="0.25"/>
  <cols>
    <col min="14" max="14" width="12.28515625" bestFit="1" customWidth="1"/>
    <col min="22" max="22" width="12.7109375" bestFit="1" customWidth="1"/>
    <col min="27" max="27" width="9.7109375" bestFit="1" customWidth="1"/>
    <col min="29" max="29" width="12.7109375" bestFit="1" customWidth="1"/>
  </cols>
  <sheetData>
    <row r="1" spans="1:30" x14ac:dyDescent="0.25">
      <c r="M1" t="s">
        <v>14</v>
      </c>
      <c r="R1" t="s">
        <v>210</v>
      </c>
      <c r="T1" t="s">
        <v>211</v>
      </c>
      <c r="V1" t="s">
        <v>213</v>
      </c>
      <c r="W1" t="s">
        <v>212</v>
      </c>
      <c r="Z1" t="s">
        <v>14</v>
      </c>
      <c r="AA1" t="s">
        <v>214</v>
      </c>
      <c r="AB1" t="s">
        <v>211</v>
      </c>
      <c r="AC1" t="s">
        <v>213</v>
      </c>
      <c r="AD1" t="s">
        <v>212</v>
      </c>
    </row>
    <row r="2" spans="1:30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208</v>
      </c>
      <c r="H2" t="s">
        <v>7</v>
      </c>
      <c r="I2" t="s">
        <v>209</v>
      </c>
      <c r="L2" t="s">
        <v>14</v>
      </c>
      <c r="M2">
        <v>0</v>
      </c>
      <c r="N2" t="s">
        <v>209</v>
      </c>
      <c r="P2" t="s">
        <v>1</v>
      </c>
      <c r="Q2" t="s">
        <v>7</v>
      </c>
      <c r="R2" t="s">
        <v>8</v>
      </c>
      <c r="T2">
        <v>85</v>
      </c>
      <c r="U2" t="s">
        <v>10</v>
      </c>
      <c r="V2">
        <f>MOD(T2,8)</f>
        <v>5</v>
      </c>
      <c r="W2">
        <v>10</v>
      </c>
      <c r="X2" t="s">
        <v>13</v>
      </c>
      <c r="Z2" s="1">
        <v>0</v>
      </c>
      <c r="AA2" s="2">
        <v>119340.8</v>
      </c>
      <c r="AB2">
        <v>110</v>
      </c>
      <c r="AC2">
        <v>6</v>
      </c>
      <c r="AD2">
        <v>14</v>
      </c>
    </row>
    <row r="3" spans="1:30" x14ac:dyDescent="0.25">
      <c r="A3" t="s">
        <v>0</v>
      </c>
      <c r="B3" t="s">
        <v>9</v>
      </c>
      <c r="C3">
        <v>85</v>
      </c>
      <c r="D3" t="s">
        <v>10</v>
      </c>
      <c r="E3" t="s">
        <v>11</v>
      </c>
      <c r="F3" t="s">
        <v>12</v>
      </c>
      <c r="G3">
        <v>10</v>
      </c>
      <c r="H3" t="s">
        <v>13</v>
      </c>
      <c r="I3" t="s">
        <v>11</v>
      </c>
      <c r="L3" t="s">
        <v>14</v>
      </c>
      <c r="M3">
        <v>1</v>
      </c>
      <c r="N3" t="s">
        <v>17</v>
      </c>
      <c r="P3" t="s">
        <v>1</v>
      </c>
      <c r="Q3" t="s">
        <v>7</v>
      </c>
      <c r="R3" t="s">
        <v>19</v>
      </c>
      <c r="T3">
        <v>110</v>
      </c>
      <c r="U3" t="s">
        <v>10</v>
      </c>
      <c r="V3">
        <f t="shared" ref="V3:V66" si="0">MOD(T3,8)</f>
        <v>6</v>
      </c>
      <c r="W3">
        <v>14</v>
      </c>
      <c r="X3" t="s">
        <v>13</v>
      </c>
      <c r="Z3" s="1">
        <v>1</v>
      </c>
      <c r="AA3" s="2">
        <v>131424</v>
      </c>
      <c r="AB3">
        <v>120</v>
      </c>
      <c r="AC3">
        <v>0</v>
      </c>
      <c r="AD3">
        <v>15</v>
      </c>
    </row>
    <row r="4" spans="1:30" x14ac:dyDescent="0.25">
      <c r="A4" t="s">
        <v>0</v>
      </c>
      <c r="B4" t="s">
        <v>14</v>
      </c>
      <c r="C4" t="s">
        <v>15</v>
      </c>
      <c r="D4">
        <v>0</v>
      </c>
      <c r="E4" t="s">
        <v>4</v>
      </c>
      <c r="F4" t="s">
        <v>16</v>
      </c>
      <c r="G4" t="s">
        <v>209</v>
      </c>
      <c r="L4" t="s">
        <v>14</v>
      </c>
      <c r="M4">
        <v>2</v>
      </c>
      <c r="N4" t="s">
        <v>20</v>
      </c>
      <c r="P4" t="s">
        <v>1</v>
      </c>
      <c r="Q4" t="s">
        <v>7</v>
      </c>
      <c r="R4" t="s">
        <v>22</v>
      </c>
      <c r="T4">
        <v>120</v>
      </c>
      <c r="U4" t="s">
        <v>10</v>
      </c>
      <c r="V4">
        <f t="shared" si="0"/>
        <v>0</v>
      </c>
      <c r="W4">
        <v>15</v>
      </c>
      <c r="X4" t="s">
        <v>13</v>
      </c>
      <c r="Z4" s="1">
        <v>2</v>
      </c>
      <c r="AA4" s="2">
        <v>203820.79999999999</v>
      </c>
      <c r="AB4">
        <v>190</v>
      </c>
      <c r="AC4">
        <v>6</v>
      </c>
      <c r="AD4">
        <v>24</v>
      </c>
    </row>
    <row r="5" spans="1:30" x14ac:dyDescent="0.25">
      <c r="A5" t="s">
        <v>0</v>
      </c>
      <c r="B5" t="s">
        <v>1</v>
      </c>
      <c r="C5" t="s">
        <v>2</v>
      </c>
      <c r="D5" t="s">
        <v>3</v>
      </c>
      <c r="E5" t="s">
        <v>4</v>
      </c>
      <c r="F5" t="s">
        <v>5</v>
      </c>
      <c r="G5" t="s">
        <v>6</v>
      </c>
      <c r="H5" t="s">
        <v>7</v>
      </c>
      <c r="I5" t="s">
        <v>8</v>
      </c>
      <c r="L5" t="s">
        <v>14</v>
      </c>
      <c r="M5">
        <v>3</v>
      </c>
      <c r="N5" t="s">
        <v>23</v>
      </c>
      <c r="P5" t="s">
        <v>1</v>
      </c>
      <c r="Q5" t="s">
        <v>7</v>
      </c>
      <c r="R5" t="s">
        <v>25</v>
      </c>
      <c r="T5">
        <v>190</v>
      </c>
      <c r="U5" t="s">
        <v>10</v>
      </c>
      <c r="V5">
        <f t="shared" si="0"/>
        <v>6</v>
      </c>
      <c r="W5">
        <v>24</v>
      </c>
      <c r="X5" t="s">
        <v>13</v>
      </c>
      <c r="Z5" s="1">
        <v>3</v>
      </c>
      <c r="AA5" s="2">
        <v>155539.20000000001</v>
      </c>
      <c r="AB5">
        <v>144</v>
      </c>
      <c r="AC5">
        <v>0</v>
      </c>
      <c r="AD5">
        <v>18</v>
      </c>
    </row>
    <row r="6" spans="1:30" x14ac:dyDescent="0.25">
      <c r="A6" t="s">
        <v>0</v>
      </c>
      <c r="B6" t="s">
        <v>9</v>
      </c>
      <c r="C6">
        <v>110</v>
      </c>
      <c r="D6" t="s">
        <v>10</v>
      </c>
      <c r="E6" t="s">
        <v>11</v>
      </c>
      <c r="F6" t="s">
        <v>12</v>
      </c>
      <c r="G6">
        <v>14</v>
      </c>
      <c r="H6" t="s">
        <v>13</v>
      </c>
      <c r="I6" t="s">
        <v>11</v>
      </c>
      <c r="L6" t="s">
        <v>14</v>
      </c>
      <c r="M6">
        <v>4</v>
      </c>
      <c r="N6" t="s">
        <v>26</v>
      </c>
      <c r="P6" t="s">
        <v>1</v>
      </c>
      <c r="Q6" t="s">
        <v>7</v>
      </c>
      <c r="R6" t="s">
        <v>28</v>
      </c>
      <c r="T6">
        <v>144</v>
      </c>
      <c r="U6" t="s">
        <v>10</v>
      </c>
      <c r="V6">
        <f t="shared" si="0"/>
        <v>0</v>
      </c>
      <c r="W6">
        <v>18</v>
      </c>
      <c r="X6" t="s">
        <v>13</v>
      </c>
      <c r="Z6" s="1">
        <v>4</v>
      </c>
      <c r="AA6" s="2">
        <v>25644.799999999999</v>
      </c>
      <c r="AB6">
        <v>22</v>
      </c>
      <c r="AC6">
        <v>6</v>
      </c>
      <c r="AD6">
        <v>3</v>
      </c>
    </row>
    <row r="7" spans="1:30" x14ac:dyDescent="0.25">
      <c r="A7" t="s">
        <v>0</v>
      </c>
      <c r="B7" t="s">
        <v>14</v>
      </c>
      <c r="C7" t="s">
        <v>15</v>
      </c>
      <c r="D7">
        <v>1</v>
      </c>
      <c r="E7" t="s">
        <v>4</v>
      </c>
      <c r="F7" t="s">
        <v>16</v>
      </c>
      <c r="G7" t="s">
        <v>17</v>
      </c>
      <c r="L7" t="s">
        <v>14</v>
      </c>
      <c r="M7">
        <v>5</v>
      </c>
      <c r="N7" t="s">
        <v>29</v>
      </c>
      <c r="P7" t="s">
        <v>1</v>
      </c>
      <c r="Q7" t="s">
        <v>7</v>
      </c>
      <c r="R7" t="s">
        <v>31</v>
      </c>
      <c r="T7">
        <v>22</v>
      </c>
      <c r="U7" t="s">
        <v>10</v>
      </c>
      <c r="V7">
        <f t="shared" si="0"/>
        <v>6</v>
      </c>
      <c r="W7">
        <v>3</v>
      </c>
      <c r="X7" t="s">
        <v>13</v>
      </c>
      <c r="Z7" s="1">
        <v>5</v>
      </c>
      <c r="AA7" s="2">
        <v>44128</v>
      </c>
      <c r="AB7">
        <v>40</v>
      </c>
      <c r="AC7">
        <v>0</v>
      </c>
      <c r="AD7">
        <v>5</v>
      </c>
    </row>
    <row r="8" spans="1:30" x14ac:dyDescent="0.25">
      <c r="A8" t="s">
        <v>0</v>
      </c>
      <c r="B8" t="s">
        <v>1</v>
      </c>
      <c r="C8" t="s">
        <v>2</v>
      </c>
      <c r="D8" t="s">
        <v>3</v>
      </c>
      <c r="E8" t="s">
        <v>4</v>
      </c>
      <c r="F8" t="s">
        <v>5</v>
      </c>
      <c r="G8" t="s">
        <v>18</v>
      </c>
      <c r="H8" t="s">
        <v>7</v>
      </c>
      <c r="I8" t="s">
        <v>19</v>
      </c>
      <c r="L8" t="s">
        <v>14</v>
      </c>
      <c r="M8">
        <v>6</v>
      </c>
      <c r="N8" t="s">
        <v>32</v>
      </c>
      <c r="P8" t="s">
        <v>1</v>
      </c>
      <c r="Q8" t="s">
        <v>7</v>
      </c>
      <c r="R8" t="s">
        <v>34</v>
      </c>
      <c r="T8">
        <v>40</v>
      </c>
      <c r="U8" t="s">
        <v>10</v>
      </c>
      <c r="V8">
        <f t="shared" si="0"/>
        <v>0</v>
      </c>
      <c r="W8">
        <v>5</v>
      </c>
      <c r="X8" t="s">
        <v>13</v>
      </c>
      <c r="Z8" s="1">
        <v>6</v>
      </c>
      <c r="AA8" s="2">
        <v>33734.400000000001</v>
      </c>
      <c r="AB8">
        <v>30</v>
      </c>
      <c r="AC8">
        <v>6</v>
      </c>
      <c r="AD8">
        <v>4</v>
      </c>
    </row>
    <row r="9" spans="1:30" x14ac:dyDescent="0.25">
      <c r="A9" t="s">
        <v>0</v>
      </c>
      <c r="B9" t="s">
        <v>9</v>
      </c>
      <c r="C9">
        <v>120</v>
      </c>
      <c r="D9" t="s">
        <v>10</v>
      </c>
      <c r="E9" t="s">
        <v>11</v>
      </c>
      <c r="F9" t="s">
        <v>12</v>
      </c>
      <c r="G9">
        <v>15</v>
      </c>
      <c r="H9" t="s">
        <v>13</v>
      </c>
      <c r="I9" t="s">
        <v>11</v>
      </c>
      <c r="L9" t="s">
        <v>14</v>
      </c>
      <c r="M9">
        <v>7</v>
      </c>
      <c r="N9" t="s">
        <v>35</v>
      </c>
      <c r="P9" t="s">
        <v>1</v>
      </c>
      <c r="Q9" t="s">
        <v>7</v>
      </c>
      <c r="R9" t="s">
        <v>37</v>
      </c>
      <c r="T9">
        <v>30</v>
      </c>
      <c r="U9" t="s">
        <v>10</v>
      </c>
      <c r="V9">
        <f t="shared" si="0"/>
        <v>6</v>
      </c>
      <c r="W9">
        <v>4</v>
      </c>
      <c r="X9" t="s">
        <v>13</v>
      </c>
      <c r="Z9" s="1">
        <v>7</v>
      </c>
      <c r="AA9" s="2">
        <v>8492.7999999999993</v>
      </c>
      <c r="AB9">
        <v>6</v>
      </c>
      <c r="AC9">
        <v>6</v>
      </c>
      <c r="AD9">
        <v>1</v>
      </c>
    </row>
    <row r="10" spans="1:30" x14ac:dyDescent="0.25">
      <c r="A10" t="s">
        <v>0</v>
      </c>
      <c r="B10" t="s">
        <v>14</v>
      </c>
      <c r="C10" t="s">
        <v>15</v>
      </c>
      <c r="D10">
        <v>2</v>
      </c>
      <c r="E10" t="s">
        <v>4</v>
      </c>
      <c r="F10" t="s">
        <v>16</v>
      </c>
      <c r="G10" t="s">
        <v>20</v>
      </c>
      <c r="L10" t="s">
        <v>14</v>
      </c>
      <c r="M10">
        <v>8</v>
      </c>
      <c r="N10" t="s">
        <v>38</v>
      </c>
      <c r="P10" t="s">
        <v>1</v>
      </c>
      <c r="Q10" t="s">
        <v>7</v>
      </c>
      <c r="R10" t="s">
        <v>40</v>
      </c>
      <c r="T10">
        <v>6</v>
      </c>
      <c r="U10" t="s">
        <v>10</v>
      </c>
      <c r="V10">
        <f t="shared" si="0"/>
        <v>6</v>
      </c>
      <c r="W10">
        <v>1</v>
      </c>
      <c r="X10" t="s">
        <v>13</v>
      </c>
      <c r="Z10" s="1">
        <v>8</v>
      </c>
      <c r="AA10" s="2">
        <v>5830.4</v>
      </c>
      <c r="AB10">
        <v>4</v>
      </c>
      <c r="AC10">
        <v>4</v>
      </c>
      <c r="AD10">
        <v>0</v>
      </c>
    </row>
    <row r="11" spans="1:30" x14ac:dyDescent="0.25">
      <c r="A11" t="s">
        <v>0</v>
      </c>
      <c r="B11" t="s">
        <v>1</v>
      </c>
      <c r="C11" t="s">
        <v>2</v>
      </c>
      <c r="D11" t="s">
        <v>3</v>
      </c>
      <c r="E11" t="s">
        <v>4</v>
      </c>
      <c r="F11" t="s">
        <v>5</v>
      </c>
      <c r="G11" t="s">
        <v>21</v>
      </c>
      <c r="H11" t="s">
        <v>7</v>
      </c>
      <c r="I11" t="s">
        <v>22</v>
      </c>
      <c r="L11" t="s">
        <v>14</v>
      </c>
      <c r="M11">
        <v>9</v>
      </c>
      <c r="N11" t="s">
        <v>41</v>
      </c>
      <c r="P11" t="s">
        <v>1</v>
      </c>
      <c r="Q11" t="s">
        <v>7</v>
      </c>
      <c r="R11" t="s">
        <v>43</v>
      </c>
      <c r="T11">
        <v>4</v>
      </c>
      <c r="U11" t="s">
        <v>10</v>
      </c>
      <c r="V11">
        <f t="shared" si="0"/>
        <v>4</v>
      </c>
      <c r="W11">
        <v>0</v>
      </c>
      <c r="X11" t="s">
        <v>13</v>
      </c>
      <c r="Z11" s="1">
        <v>9</v>
      </c>
      <c r="AA11" s="2">
        <v>99987.199999999997</v>
      </c>
      <c r="AB11">
        <v>93</v>
      </c>
      <c r="AC11">
        <v>5</v>
      </c>
      <c r="AD11">
        <v>11</v>
      </c>
    </row>
    <row r="12" spans="1:30" x14ac:dyDescent="0.25">
      <c r="A12" t="s">
        <v>0</v>
      </c>
      <c r="B12" t="s">
        <v>9</v>
      </c>
      <c r="C12">
        <v>190</v>
      </c>
      <c r="D12" t="s">
        <v>10</v>
      </c>
      <c r="E12" t="s">
        <v>11</v>
      </c>
      <c r="F12" t="s">
        <v>12</v>
      </c>
      <c r="G12">
        <v>24</v>
      </c>
      <c r="H12" t="s">
        <v>13</v>
      </c>
      <c r="I12" t="s">
        <v>11</v>
      </c>
      <c r="L12" t="s">
        <v>14</v>
      </c>
      <c r="M12">
        <v>10</v>
      </c>
      <c r="N12" t="s">
        <v>44</v>
      </c>
      <c r="P12" t="s">
        <v>1</v>
      </c>
      <c r="Q12" t="s">
        <v>7</v>
      </c>
      <c r="R12" t="s">
        <v>46</v>
      </c>
      <c r="T12">
        <v>93</v>
      </c>
      <c r="U12" t="s">
        <v>10</v>
      </c>
      <c r="V12">
        <f t="shared" si="0"/>
        <v>5</v>
      </c>
      <c r="W12">
        <v>11</v>
      </c>
      <c r="X12" t="s">
        <v>13</v>
      </c>
      <c r="Z12" s="1">
        <v>10</v>
      </c>
      <c r="AA12" s="2">
        <v>52217.599999999999</v>
      </c>
      <c r="AB12">
        <v>46</v>
      </c>
      <c r="AC12">
        <v>6</v>
      </c>
      <c r="AD12">
        <v>6</v>
      </c>
    </row>
    <row r="13" spans="1:30" x14ac:dyDescent="0.25">
      <c r="A13" t="s">
        <v>0</v>
      </c>
      <c r="B13" t="s">
        <v>14</v>
      </c>
      <c r="C13" t="s">
        <v>15</v>
      </c>
      <c r="D13">
        <v>3</v>
      </c>
      <c r="E13" t="s">
        <v>4</v>
      </c>
      <c r="F13" t="s">
        <v>16</v>
      </c>
      <c r="G13" t="s">
        <v>23</v>
      </c>
      <c r="L13" t="s">
        <v>14</v>
      </c>
      <c r="M13">
        <v>11</v>
      </c>
      <c r="N13" t="s">
        <v>47</v>
      </c>
      <c r="P13" t="s">
        <v>1</v>
      </c>
      <c r="Q13" t="s">
        <v>7</v>
      </c>
      <c r="R13" t="s">
        <v>49</v>
      </c>
      <c r="T13">
        <v>46</v>
      </c>
      <c r="U13" t="s">
        <v>10</v>
      </c>
      <c r="V13">
        <f t="shared" si="0"/>
        <v>6</v>
      </c>
      <c r="W13">
        <v>6</v>
      </c>
      <c r="X13" t="s">
        <v>13</v>
      </c>
      <c r="Z13" s="1">
        <v>11</v>
      </c>
      <c r="AA13" s="2">
        <v>251641.60000000001</v>
      </c>
      <c r="AB13">
        <v>232</v>
      </c>
      <c r="AC13">
        <v>0</v>
      </c>
      <c r="AD13">
        <v>29</v>
      </c>
    </row>
    <row r="14" spans="1:30" x14ac:dyDescent="0.25">
      <c r="A14" t="s">
        <v>0</v>
      </c>
      <c r="B14" t="s">
        <v>1</v>
      </c>
      <c r="C14" t="s">
        <v>2</v>
      </c>
      <c r="D14" t="s">
        <v>3</v>
      </c>
      <c r="E14" t="s">
        <v>4</v>
      </c>
      <c r="F14" t="s">
        <v>5</v>
      </c>
      <c r="G14" t="s">
        <v>24</v>
      </c>
      <c r="H14" t="s">
        <v>7</v>
      </c>
      <c r="I14" t="s">
        <v>25</v>
      </c>
      <c r="L14" t="s">
        <v>14</v>
      </c>
      <c r="M14">
        <v>12</v>
      </c>
      <c r="N14" t="s">
        <v>50</v>
      </c>
      <c r="P14" t="s">
        <v>1</v>
      </c>
      <c r="Q14" t="s">
        <v>7</v>
      </c>
      <c r="R14" t="s">
        <v>52</v>
      </c>
      <c r="T14">
        <v>232</v>
      </c>
      <c r="U14" t="s">
        <v>10</v>
      </c>
      <c r="V14">
        <f t="shared" si="0"/>
        <v>0</v>
      </c>
      <c r="W14">
        <v>29</v>
      </c>
      <c r="X14" t="s">
        <v>13</v>
      </c>
      <c r="Z14" s="1">
        <v>12</v>
      </c>
      <c r="AA14" s="2">
        <v>3628.8</v>
      </c>
      <c r="AB14">
        <v>2</v>
      </c>
      <c r="AC14">
        <v>2</v>
      </c>
      <c r="AD14">
        <v>0</v>
      </c>
    </row>
    <row r="15" spans="1:30" x14ac:dyDescent="0.25">
      <c r="A15" t="s">
        <v>0</v>
      </c>
      <c r="B15" t="s">
        <v>9</v>
      </c>
      <c r="C15">
        <v>144</v>
      </c>
      <c r="D15" t="s">
        <v>10</v>
      </c>
      <c r="E15" t="s">
        <v>11</v>
      </c>
      <c r="F15" t="s">
        <v>12</v>
      </c>
      <c r="G15">
        <v>18</v>
      </c>
      <c r="H15" t="s">
        <v>13</v>
      </c>
      <c r="I15" t="s">
        <v>11</v>
      </c>
      <c r="L15" t="s">
        <v>14</v>
      </c>
      <c r="M15">
        <v>13</v>
      </c>
      <c r="N15" t="s">
        <v>53</v>
      </c>
      <c r="P15" t="s">
        <v>1</v>
      </c>
      <c r="Q15" t="s">
        <v>7</v>
      </c>
      <c r="R15" t="s">
        <v>55</v>
      </c>
      <c r="T15">
        <v>2</v>
      </c>
      <c r="U15" t="s">
        <v>10</v>
      </c>
      <c r="V15">
        <f t="shared" si="0"/>
        <v>2</v>
      </c>
      <c r="W15">
        <v>0</v>
      </c>
      <c r="X15" t="s">
        <v>13</v>
      </c>
      <c r="Z15" s="1">
        <v>13</v>
      </c>
      <c r="AA15" s="2">
        <v>15609.6</v>
      </c>
      <c r="AB15">
        <v>13</v>
      </c>
      <c r="AC15">
        <v>5</v>
      </c>
      <c r="AD15">
        <v>1</v>
      </c>
    </row>
    <row r="16" spans="1:30" x14ac:dyDescent="0.25">
      <c r="A16" t="s">
        <v>0</v>
      </c>
      <c r="B16" t="s">
        <v>14</v>
      </c>
      <c r="C16" t="s">
        <v>15</v>
      </c>
      <c r="D16">
        <v>4</v>
      </c>
      <c r="E16" t="s">
        <v>4</v>
      </c>
      <c r="F16" t="s">
        <v>16</v>
      </c>
      <c r="G16" t="s">
        <v>26</v>
      </c>
      <c r="L16" t="s">
        <v>14</v>
      </c>
      <c r="M16">
        <v>14</v>
      </c>
      <c r="N16" t="s">
        <v>56</v>
      </c>
      <c r="P16" t="s">
        <v>1</v>
      </c>
      <c r="Q16" t="s">
        <v>7</v>
      </c>
      <c r="R16" t="s">
        <v>58</v>
      </c>
      <c r="T16">
        <v>13</v>
      </c>
      <c r="U16" t="s">
        <v>10</v>
      </c>
      <c r="V16">
        <f t="shared" si="0"/>
        <v>5</v>
      </c>
      <c r="W16">
        <v>1</v>
      </c>
      <c r="X16" t="s">
        <v>13</v>
      </c>
      <c r="Z16" s="1">
        <v>14</v>
      </c>
      <c r="AA16" s="2">
        <v>60204.800000000003</v>
      </c>
      <c r="AB16">
        <v>54</v>
      </c>
      <c r="AC16">
        <v>6</v>
      </c>
      <c r="AD16">
        <v>7</v>
      </c>
    </row>
    <row r="17" spans="1:30" x14ac:dyDescent="0.25">
      <c r="A17" t="s">
        <v>0</v>
      </c>
      <c r="B17" t="s">
        <v>1</v>
      </c>
      <c r="C17" t="s">
        <v>2</v>
      </c>
      <c r="D17" t="s">
        <v>3</v>
      </c>
      <c r="E17" t="s">
        <v>4</v>
      </c>
      <c r="F17" t="s">
        <v>5</v>
      </c>
      <c r="G17" t="s">
        <v>27</v>
      </c>
      <c r="H17" t="s">
        <v>7</v>
      </c>
      <c r="I17" t="s">
        <v>28</v>
      </c>
      <c r="L17" t="s">
        <v>14</v>
      </c>
      <c r="M17">
        <v>15</v>
      </c>
      <c r="N17" t="s">
        <v>59</v>
      </c>
      <c r="P17" t="s">
        <v>1</v>
      </c>
      <c r="Q17" t="s">
        <v>7</v>
      </c>
      <c r="R17" t="s">
        <v>61</v>
      </c>
      <c r="T17">
        <v>54</v>
      </c>
      <c r="U17" t="s">
        <v>10</v>
      </c>
      <c r="V17">
        <f t="shared" si="0"/>
        <v>6</v>
      </c>
      <c r="W17">
        <v>7</v>
      </c>
      <c r="X17" t="s">
        <v>13</v>
      </c>
      <c r="Z17" s="1">
        <v>15</v>
      </c>
      <c r="AA17" s="2">
        <v>165011.20000000001</v>
      </c>
      <c r="AB17">
        <v>152</v>
      </c>
      <c r="AC17">
        <v>0</v>
      </c>
      <c r="AD17">
        <v>19</v>
      </c>
    </row>
    <row r="18" spans="1:30" x14ac:dyDescent="0.25">
      <c r="A18" t="s">
        <v>0</v>
      </c>
      <c r="B18" t="s">
        <v>9</v>
      </c>
      <c r="C18">
        <v>22</v>
      </c>
      <c r="D18" t="s">
        <v>10</v>
      </c>
      <c r="E18" t="s">
        <v>11</v>
      </c>
      <c r="F18" t="s">
        <v>12</v>
      </c>
      <c r="G18">
        <v>3</v>
      </c>
      <c r="H18" t="s">
        <v>13</v>
      </c>
      <c r="I18" t="s">
        <v>11</v>
      </c>
      <c r="L18" t="s">
        <v>14</v>
      </c>
      <c r="M18">
        <v>16</v>
      </c>
      <c r="N18" t="s">
        <v>62</v>
      </c>
      <c r="P18" t="s">
        <v>1</v>
      </c>
      <c r="Q18" t="s">
        <v>7</v>
      </c>
      <c r="R18" t="s">
        <v>64</v>
      </c>
      <c r="T18">
        <v>152</v>
      </c>
      <c r="U18" t="s">
        <v>10</v>
      </c>
      <c r="V18">
        <f t="shared" si="0"/>
        <v>0</v>
      </c>
      <c r="W18">
        <v>19</v>
      </c>
      <c r="X18" t="s">
        <v>13</v>
      </c>
      <c r="Z18" s="1">
        <v>16</v>
      </c>
      <c r="AA18" s="2">
        <v>187948.79999999999</v>
      </c>
      <c r="AB18">
        <v>174</v>
      </c>
      <c r="AC18">
        <v>6</v>
      </c>
      <c r="AD18">
        <v>22</v>
      </c>
    </row>
    <row r="19" spans="1:30" x14ac:dyDescent="0.25">
      <c r="A19" t="s">
        <v>0</v>
      </c>
      <c r="B19" t="s">
        <v>14</v>
      </c>
      <c r="C19" t="s">
        <v>15</v>
      </c>
      <c r="D19">
        <v>5</v>
      </c>
      <c r="E19" t="s">
        <v>4</v>
      </c>
      <c r="F19" t="s">
        <v>16</v>
      </c>
      <c r="G19" t="s">
        <v>29</v>
      </c>
      <c r="L19" t="s">
        <v>14</v>
      </c>
      <c r="M19">
        <v>17</v>
      </c>
      <c r="N19" t="s">
        <v>65</v>
      </c>
      <c r="P19" t="s">
        <v>1</v>
      </c>
      <c r="Q19" t="s">
        <v>7</v>
      </c>
      <c r="R19" t="s">
        <v>67</v>
      </c>
      <c r="T19">
        <v>174</v>
      </c>
      <c r="U19" t="s">
        <v>10</v>
      </c>
      <c r="V19">
        <f t="shared" si="0"/>
        <v>6</v>
      </c>
      <c r="W19">
        <v>22</v>
      </c>
      <c r="X19" t="s">
        <v>13</v>
      </c>
      <c r="Z19" s="1">
        <v>17</v>
      </c>
      <c r="AA19" s="2">
        <v>61024</v>
      </c>
      <c r="AB19">
        <v>56</v>
      </c>
      <c r="AC19">
        <v>0</v>
      </c>
      <c r="AD19">
        <v>7</v>
      </c>
    </row>
    <row r="20" spans="1:30" x14ac:dyDescent="0.25">
      <c r="A20" t="s">
        <v>0</v>
      </c>
      <c r="B20" t="s">
        <v>1</v>
      </c>
      <c r="C20" t="s">
        <v>2</v>
      </c>
      <c r="D20" t="s">
        <v>3</v>
      </c>
      <c r="E20" t="s">
        <v>4</v>
      </c>
      <c r="F20" t="s">
        <v>5</v>
      </c>
      <c r="G20" t="s">
        <v>30</v>
      </c>
      <c r="H20" t="s">
        <v>7</v>
      </c>
      <c r="I20" t="s">
        <v>31</v>
      </c>
      <c r="L20" t="s">
        <v>14</v>
      </c>
      <c r="M20">
        <v>18</v>
      </c>
      <c r="N20" t="s">
        <v>68</v>
      </c>
      <c r="P20" t="s">
        <v>1</v>
      </c>
      <c r="Q20" t="s">
        <v>7</v>
      </c>
      <c r="R20" t="s">
        <v>70</v>
      </c>
      <c r="T20">
        <v>56</v>
      </c>
      <c r="U20" t="s">
        <v>10</v>
      </c>
      <c r="V20">
        <f t="shared" si="0"/>
        <v>0</v>
      </c>
      <c r="W20">
        <v>7</v>
      </c>
      <c r="X20" t="s">
        <v>13</v>
      </c>
      <c r="Z20" s="1">
        <v>18</v>
      </c>
      <c r="AA20" s="2">
        <v>33836.800000000003</v>
      </c>
      <c r="AB20">
        <v>30</v>
      </c>
      <c r="AC20">
        <v>6</v>
      </c>
      <c r="AD20">
        <v>4</v>
      </c>
    </row>
    <row r="21" spans="1:30" x14ac:dyDescent="0.25">
      <c r="A21" t="s">
        <v>0</v>
      </c>
      <c r="B21" t="s">
        <v>9</v>
      </c>
      <c r="C21">
        <v>40</v>
      </c>
      <c r="D21" t="s">
        <v>10</v>
      </c>
      <c r="E21" t="s">
        <v>11</v>
      </c>
      <c r="F21" t="s">
        <v>12</v>
      </c>
      <c r="G21">
        <v>5</v>
      </c>
      <c r="H21" t="s">
        <v>13</v>
      </c>
      <c r="I21" t="s">
        <v>11</v>
      </c>
      <c r="L21" t="s">
        <v>14</v>
      </c>
      <c r="M21">
        <v>19</v>
      </c>
      <c r="N21" t="s">
        <v>71</v>
      </c>
      <c r="P21" t="s">
        <v>1</v>
      </c>
      <c r="Q21" t="s">
        <v>7</v>
      </c>
      <c r="R21" t="s">
        <v>73</v>
      </c>
      <c r="T21">
        <v>30</v>
      </c>
      <c r="U21" t="s">
        <v>10</v>
      </c>
      <c r="V21">
        <f t="shared" si="0"/>
        <v>6</v>
      </c>
      <c r="W21">
        <v>4</v>
      </c>
      <c r="X21" t="s">
        <v>13</v>
      </c>
      <c r="Z21" s="1">
        <v>19</v>
      </c>
      <c r="AA21" s="2">
        <v>1836.8</v>
      </c>
      <c r="AB21">
        <v>0</v>
      </c>
      <c r="AC21">
        <v>0</v>
      </c>
      <c r="AD21">
        <v>0</v>
      </c>
    </row>
    <row r="22" spans="1:30" x14ac:dyDescent="0.25">
      <c r="A22" t="s">
        <v>0</v>
      </c>
      <c r="B22" t="s">
        <v>14</v>
      </c>
      <c r="C22" t="s">
        <v>15</v>
      </c>
      <c r="D22">
        <v>6</v>
      </c>
      <c r="E22" t="s">
        <v>4</v>
      </c>
      <c r="F22" t="s">
        <v>16</v>
      </c>
      <c r="G22" t="s">
        <v>32</v>
      </c>
      <c r="L22" t="s">
        <v>14</v>
      </c>
      <c r="M22">
        <v>20</v>
      </c>
      <c r="N22" t="s">
        <v>74</v>
      </c>
      <c r="P22" t="s">
        <v>1</v>
      </c>
      <c r="Q22" t="s">
        <v>7</v>
      </c>
      <c r="R22" t="s">
        <v>76</v>
      </c>
      <c r="T22">
        <v>0</v>
      </c>
      <c r="U22" t="s">
        <v>10</v>
      </c>
      <c r="V22">
        <f t="shared" si="0"/>
        <v>0</v>
      </c>
      <c r="W22">
        <v>0</v>
      </c>
      <c r="X22" t="s">
        <v>13</v>
      </c>
      <c r="Z22" s="1">
        <v>20</v>
      </c>
      <c r="AA22" s="2">
        <v>25849.599999999999</v>
      </c>
      <c r="AB22">
        <v>22</v>
      </c>
      <c r="AC22">
        <v>6</v>
      </c>
      <c r="AD22">
        <v>3</v>
      </c>
    </row>
    <row r="23" spans="1:30" x14ac:dyDescent="0.25">
      <c r="A23" t="s">
        <v>0</v>
      </c>
      <c r="B23" t="s">
        <v>1</v>
      </c>
      <c r="C23" t="s">
        <v>2</v>
      </c>
      <c r="D23" t="s">
        <v>3</v>
      </c>
      <c r="E23" t="s">
        <v>4</v>
      </c>
      <c r="F23" t="s">
        <v>5</v>
      </c>
      <c r="G23" t="s">
        <v>33</v>
      </c>
      <c r="H23" t="s">
        <v>7</v>
      </c>
      <c r="I23" t="s">
        <v>34</v>
      </c>
      <c r="L23" t="s">
        <v>14</v>
      </c>
      <c r="M23">
        <v>21</v>
      </c>
      <c r="N23" t="s">
        <v>77</v>
      </c>
      <c r="P23" t="s">
        <v>1</v>
      </c>
      <c r="Q23" t="s">
        <v>7</v>
      </c>
      <c r="R23" t="s">
        <v>79</v>
      </c>
      <c r="T23">
        <v>22</v>
      </c>
      <c r="U23" t="s">
        <v>10</v>
      </c>
      <c r="V23">
        <f t="shared" si="0"/>
        <v>6</v>
      </c>
      <c r="W23">
        <v>3</v>
      </c>
      <c r="X23" t="s">
        <v>13</v>
      </c>
      <c r="Z23" s="1">
        <v>21</v>
      </c>
      <c r="AA23" s="2">
        <v>79097.600000000006</v>
      </c>
      <c r="AB23">
        <v>72</v>
      </c>
      <c r="AC23">
        <v>0</v>
      </c>
      <c r="AD23">
        <v>9</v>
      </c>
    </row>
    <row r="24" spans="1:30" x14ac:dyDescent="0.25">
      <c r="A24" t="s">
        <v>0</v>
      </c>
      <c r="B24" t="s">
        <v>9</v>
      </c>
      <c r="C24">
        <v>30</v>
      </c>
      <c r="D24" t="s">
        <v>10</v>
      </c>
      <c r="E24" t="s">
        <v>11</v>
      </c>
      <c r="F24" t="s">
        <v>12</v>
      </c>
      <c r="G24">
        <v>4</v>
      </c>
      <c r="H24" t="s">
        <v>13</v>
      </c>
      <c r="I24" t="s">
        <v>11</v>
      </c>
      <c r="L24" t="s">
        <v>14</v>
      </c>
      <c r="M24">
        <v>22</v>
      </c>
      <c r="N24" t="s">
        <v>80</v>
      </c>
      <c r="P24" t="s">
        <v>1</v>
      </c>
      <c r="Q24" t="s">
        <v>7</v>
      </c>
      <c r="R24" t="s">
        <v>82</v>
      </c>
      <c r="T24">
        <v>72</v>
      </c>
      <c r="U24" t="s">
        <v>10</v>
      </c>
      <c r="V24">
        <f t="shared" si="0"/>
        <v>0</v>
      </c>
      <c r="W24">
        <v>9</v>
      </c>
      <c r="X24" t="s">
        <v>13</v>
      </c>
      <c r="Z24" s="1">
        <v>22</v>
      </c>
      <c r="AA24" s="2">
        <v>231520</v>
      </c>
      <c r="AB24">
        <v>214</v>
      </c>
      <c r="AC24">
        <v>6</v>
      </c>
      <c r="AD24">
        <v>27</v>
      </c>
    </row>
    <row r="25" spans="1:30" x14ac:dyDescent="0.25">
      <c r="A25" t="s">
        <v>0</v>
      </c>
      <c r="B25" t="s">
        <v>14</v>
      </c>
      <c r="C25" t="s">
        <v>15</v>
      </c>
      <c r="D25">
        <v>7</v>
      </c>
      <c r="E25" t="s">
        <v>4</v>
      </c>
      <c r="F25" t="s">
        <v>16</v>
      </c>
      <c r="G25" t="s">
        <v>35</v>
      </c>
      <c r="L25" t="s">
        <v>14</v>
      </c>
      <c r="M25">
        <v>23</v>
      </c>
      <c r="N25" t="s">
        <v>83</v>
      </c>
      <c r="P25" t="s">
        <v>1</v>
      </c>
      <c r="Q25" t="s">
        <v>7</v>
      </c>
      <c r="R25" t="s">
        <v>85</v>
      </c>
      <c r="T25">
        <v>214</v>
      </c>
      <c r="U25" t="s">
        <v>10</v>
      </c>
      <c r="V25">
        <f t="shared" si="0"/>
        <v>6</v>
      </c>
      <c r="W25">
        <v>27</v>
      </c>
      <c r="X25" t="s">
        <v>13</v>
      </c>
      <c r="Z25" s="1">
        <v>23</v>
      </c>
      <c r="AA25" s="2">
        <v>1939.2</v>
      </c>
      <c r="AB25">
        <v>0</v>
      </c>
      <c r="AC25">
        <v>0</v>
      </c>
      <c r="AD25">
        <v>0</v>
      </c>
    </row>
    <row r="26" spans="1:30" x14ac:dyDescent="0.25">
      <c r="A26" t="s">
        <v>0</v>
      </c>
      <c r="B26" t="s">
        <v>1</v>
      </c>
      <c r="C26" t="s">
        <v>2</v>
      </c>
      <c r="D26" t="s">
        <v>3</v>
      </c>
      <c r="E26" t="s">
        <v>4</v>
      </c>
      <c r="F26" t="s">
        <v>5</v>
      </c>
      <c r="G26" t="s">
        <v>36</v>
      </c>
      <c r="H26" t="s">
        <v>7</v>
      </c>
      <c r="I26" t="s">
        <v>37</v>
      </c>
      <c r="L26" t="s">
        <v>14</v>
      </c>
      <c r="M26">
        <v>24</v>
      </c>
      <c r="N26" t="s">
        <v>86</v>
      </c>
      <c r="P26" t="s">
        <v>1</v>
      </c>
      <c r="Q26" t="s">
        <v>7</v>
      </c>
      <c r="R26" t="s">
        <v>88</v>
      </c>
      <c r="T26">
        <v>0</v>
      </c>
      <c r="U26" t="s">
        <v>10</v>
      </c>
      <c r="V26">
        <f t="shared" si="0"/>
        <v>0</v>
      </c>
      <c r="W26">
        <v>0</v>
      </c>
      <c r="X26" t="s">
        <v>13</v>
      </c>
      <c r="Z26" s="1">
        <v>24</v>
      </c>
      <c r="AA26" s="2">
        <v>42694.400000000001</v>
      </c>
      <c r="AB26">
        <v>38</v>
      </c>
      <c r="AC26">
        <v>6</v>
      </c>
      <c r="AD26">
        <v>5</v>
      </c>
    </row>
    <row r="27" spans="1:30" x14ac:dyDescent="0.25">
      <c r="A27" t="s">
        <v>0</v>
      </c>
      <c r="B27" t="s">
        <v>9</v>
      </c>
      <c r="C27">
        <v>6</v>
      </c>
      <c r="D27" t="s">
        <v>10</v>
      </c>
      <c r="E27" t="s">
        <v>11</v>
      </c>
      <c r="F27" t="s">
        <v>12</v>
      </c>
      <c r="G27">
        <v>1</v>
      </c>
      <c r="H27" t="s">
        <v>13</v>
      </c>
      <c r="I27" t="s">
        <v>11</v>
      </c>
      <c r="L27" t="s">
        <v>14</v>
      </c>
      <c r="M27">
        <v>25</v>
      </c>
      <c r="N27" t="s">
        <v>89</v>
      </c>
      <c r="P27" t="s">
        <v>1</v>
      </c>
      <c r="Q27" t="s">
        <v>7</v>
      </c>
      <c r="R27" t="s">
        <v>91</v>
      </c>
      <c r="T27">
        <v>38</v>
      </c>
      <c r="U27" t="s">
        <v>10</v>
      </c>
      <c r="V27">
        <f t="shared" si="0"/>
        <v>6</v>
      </c>
      <c r="W27">
        <v>5</v>
      </c>
      <c r="X27" t="s">
        <v>13</v>
      </c>
      <c r="Z27" s="1">
        <v>25</v>
      </c>
      <c r="AA27" s="2">
        <v>61433.599999999999</v>
      </c>
      <c r="AB27">
        <v>56</v>
      </c>
      <c r="AC27">
        <v>0</v>
      </c>
      <c r="AD27">
        <v>7</v>
      </c>
    </row>
    <row r="28" spans="1:30" x14ac:dyDescent="0.25">
      <c r="A28" t="s">
        <v>0</v>
      </c>
      <c r="B28" t="s">
        <v>14</v>
      </c>
      <c r="C28" t="s">
        <v>15</v>
      </c>
      <c r="D28">
        <v>8</v>
      </c>
      <c r="E28" t="s">
        <v>4</v>
      </c>
      <c r="F28" t="s">
        <v>16</v>
      </c>
      <c r="G28" t="s">
        <v>38</v>
      </c>
      <c r="L28" t="s">
        <v>14</v>
      </c>
      <c r="M28">
        <v>26</v>
      </c>
      <c r="N28" t="s">
        <v>92</v>
      </c>
      <c r="P28" t="s">
        <v>1</v>
      </c>
      <c r="Q28" t="s">
        <v>7</v>
      </c>
      <c r="R28" t="s">
        <v>94</v>
      </c>
      <c r="T28">
        <v>56</v>
      </c>
      <c r="U28" t="s">
        <v>10</v>
      </c>
      <c r="V28">
        <f t="shared" si="0"/>
        <v>0</v>
      </c>
      <c r="W28">
        <v>7</v>
      </c>
      <c r="X28" t="s">
        <v>13</v>
      </c>
      <c r="Z28" s="1">
        <v>26</v>
      </c>
      <c r="AA28" s="2">
        <v>110944</v>
      </c>
      <c r="AB28">
        <v>102</v>
      </c>
      <c r="AC28">
        <v>6</v>
      </c>
      <c r="AD28">
        <v>13</v>
      </c>
    </row>
    <row r="29" spans="1:30" x14ac:dyDescent="0.25">
      <c r="A29" t="s">
        <v>0</v>
      </c>
      <c r="B29" t="s">
        <v>1</v>
      </c>
      <c r="C29" t="s">
        <v>2</v>
      </c>
      <c r="D29" t="s">
        <v>3</v>
      </c>
      <c r="E29" t="s">
        <v>4</v>
      </c>
      <c r="F29" t="s">
        <v>5</v>
      </c>
      <c r="G29" t="s">
        <v>39</v>
      </c>
      <c r="H29" t="s">
        <v>7</v>
      </c>
      <c r="I29" t="s">
        <v>40</v>
      </c>
      <c r="L29" t="s">
        <v>14</v>
      </c>
      <c r="M29">
        <v>27</v>
      </c>
      <c r="N29" t="s">
        <v>95</v>
      </c>
      <c r="P29" t="s">
        <v>1</v>
      </c>
      <c r="Q29" t="s">
        <v>7</v>
      </c>
      <c r="R29" t="s">
        <v>97</v>
      </c>
      <c r="T29">
        <v>102</v>
      </c>
      <c r="U29" t="s">
        <v>10</v>
      </c>
      <c r="V29">
        <f t="shared" si="0"/>
        <v>6</v>
      </c>
      <c r="W29">
        <v>13</v>
      </c>
      <c r="X29" t="s">
        <v>13</v>
      </c>
      <c r="Z29" s="1">
        <v>27</v>
      </c>
      <c r="AA29" s="2">
        <v>170694.39999999999</v>
      </c>
      <c r="AB29">
        <v>160</v>
      </c>
      <c r="AC29">
        <v>0</v>
      </c>
      <c r="AD29">
        <v>20</v>
      </c>
    </row>
    <row r="30" spans="1:30" x14ac:dyDescent="0.25">
      <c r="A30" t="s">
        <v>0</v>
      </c>
      <c r="B30" t="s">
        <v>9</v>
      </c>
      <c r="C30">
        <v>4</v>
      </c>
      <c r="D30" t="s">
        <v>10</v>
      </c>
      <c r="E30" t="s">
        <v>11</v>
      </c>
      <c r="F30" t="s">
        <v>12</v>
      </c>
      <c r="G30">
        <v>0</v>
      </c>
      <c r="H30" t="s">
        <v>13</v>
      </c>
      <c r="I30" t="s">
        <v>11</v>
      </c>
      <c r="L30" t="s">
        <v>14</v>
      </c>
      <c r="M30">
        <v>28</v>
      </c>
      <c r="N30" t="s">
        <v>98</v>
      </c>
      <c r="P30" t="s">
        <v>1</v>
      </c>
      <c r="Q30" t="s">
        <v>7</v>
      </c>
      <c r="R30" t="s">
        <v>100</v>
      </c>
      <c r="T30">
        <v>160</v>
      </c>
      <c r="U30" t="s">
        <v>10</v>
      </c>
      <c r="V30">
        <f t="shared" si="0"/>
        <v>0</v>
      </c>
      <c r="W30">
        <v>20</v>
      </c>
      <c r="X30" t="s">
        <v>13</v>
      </c>
      <c r="Z30" s="1">
        <v>28</v>
      </c>
      <c r="AA30" s="2">
        <v>8544</v>
      </c>
      <c r="AB30">
        <v>6</v>
      </c>
      <c r="AC30">
        <v>6</v>
      </c>
      <c r="AD30">
        <v>1</v>
      </c>
    </row>
    <row r="31" spans="1:30" x14ac:dyDescent="0.25">
      <c r="A31" t="s">
        <v>0</v>
      </c>
      <c r="B31" t="s">
        <v>14</v>
      </c>
      <c r="C31" t="s">
        <v>15</v>
      </c>
      <c r="D31">
        <v>9</v>
      </c>
      <c r="E31" t="s">
        <v>4</v>
      </c>
      <c r="F31" t="s">
        <v>16</v>
      </c>
      <c r="G31" t="s">
        <v>41</v>
      </c>
      <c r="L31" t="s">
        <v>14</v>
      </c>
      <c r="M31">
        <v>29</v>
      </c>
      <c r="N31" t="s">
        <v>101</v>
      </c>
      <c r="P31" t="s">
        <v>1</v>
      </c>
      <c r="Q31" t="s">
        <v>7</v>
      </c>
      <c r="R31" t="s">
        <v>103</v>
      </c>
      <c r="T31">
        <v>6</v>
      </c>
      <c r="U31" t="s">
        <v>10</v>
      </c>
      <c r="V31">
        <f t="shared" si="0"/>
        <v>6</v>
      </c>
      <c r="W31">
        <v>1</v>
      </c>
      <c r="X31" t="s">
        <v>13</v>
      </c>
      <c r="Z31" s="1">
        <v>29</v>
      </c>
      <c r="AA31" s="2">
        <v>10233.6</v>
      </c>
      <c r="AB31">
        <v>8</v>
      </c>
      <c r="AC31">
        <v>0</v>
      </c>
      <c r="AD31">
        <v>1</v>
      </c>
    </row>
    <row r="32" spans="1:30" x14ac:dyDescent="0.25">
      <c r="A32" t="s">
        <v>0</v>
      </c>
      <c r="B32" t="s">
        <v>1</v>
      </c>
      <c r="C32" t="s">
        <v>2</v>
      </c>
      <c r="D32" t="s">
        <v>3</v>
      </c>
      <c r="E32" t="s">
        <v>4</v>
      </c>
      <c r="F32" t="s">
        <v>5</v>
      </c>
      <c r="G32" t="s">
        <v>42</v>
      </c>
      <c r="H32" t="s">
        <v>7</v>
      </c>
      <c r="I32" t="s">
        <v>43</v>
      </c>
      <c r="L32" t="s">
        <v>14</v>
      </c>
      <c r="M32">
        <v>30</v>
      </c>
      <c r="N32" t="s">
        <v>104</v>
      </c>
      <c r="P32" t="s">
        <v>1</v>
      </c>
      <c r="Q32" t="s">
        <v>7</v>
      </c>
      <c r="R32" t="s">
        <v>106</v>
      </c>
      <c r="T32">
        <v>8</v>
      </c>
      <c r="U32" t="s">
        <v>10</v>
      </c>
      <c r="V32">
        <f t="shared" si="0"/>
        <v>0</v>
      </c>
      <c r="W32">
        <v>1</v>
      </c>
      <c r="X32" t="s">
        <v>13</v>
      </c>
      <c r="Z32" s="1">
        <v>30</v>
      </c>
      <c r="AA32" s="2">
        <v>16838.400000000001</v>
      </c>
      <c r="AB32">
        <v>14</v>
      </c>
      <c r="AC32">
        <v>6</v>
      </c>
      <c r="AD32">
        <v>2</v>
      </c>
    </row>
    <row r="33" spans="1:30" x14ac:dyDescent="0.25">
      <c r="A33" t="s">
        <v>0</v>
      </c>
      <c r="B33" t="s">
        <v>9</v>
      </c>
      <c r="C33">
        <v>93</v>
      </c>
      <c r="D33" t="s">
        <v>10</v>
      </c>
      <c r="E33" t="s">
        <v>11</v>
      </c>
      <c r="F33" t="s">
        <v>12</v>
      </c>
      <c r="G33">
        <v>11</v>
      </c>
      <c r="H33" t="s">
        <v>13</v>
      </c>
      <c r="I33" t="s">
        <v>11</v>
      </c>
      <c r="L33" t="s">
        <v>14</v>
      </c>
      <c r="M33">
        <v>31</v>
      </c>
      <c r="N33" t="s">
        <v>107</v>
      </c>
      <c r="P33" t="s">
        <v>1</v>
      </c>
      <c r="Q33" t="s">
        <v>7</v>
      </c>
      <c r="R33" t="s">
        <v>109</v>
      </c>
      <c r="T33">
        <v>14</v>
      </c>
      <c r="U33" t="s">
        <v>10</v>
      </c>
      <c r="V33">
        <f t="shared" si="0"/>
        <v>6</v>
      </c>
      <c r="W33">
        <v>2</v>
      </c>
      <c r="X33" t="s">
        <v>13</v>
      </c>
      <c r="Z33" s="1">
        <v>31</v>
      </c>
      <c r="AA33" s="2">
        <v>8236.7999999999993</v>
      </c>
      <c r="AB33">
        <v>6</v>
      </c>
      <c r="AC33">
        <v>6</v>
      </c>
      <c r="AD33">
        <v>1</v>
      </c>
    </row>
    <row r="34" spans="1:30" x14ac:dyDescent="0.25">
      <c r="A34" t="s">
        <v>0</v>
      </c>
      <c r="B34" t="s">
        <v>14</v>
      </c>
      <c r="C34" t="s">
        <v>15</v>
      </c>
      <c r="D34">
        <v>10</v>
      </c>
      <c r="E34" t="s">
        <v>4</v>
      </c>
      <c r="F34" t="s">
        <v>16</v>
      </c>
      <c r="G34" t="s">
        <v>44</v>
      </c>
      <c r="L34" t="s">
        <v>14</v>
      </c>
      <c r="M34">
        <v>32</v>
      </c>
      <c r="N34" t="s">
        <v>110</v>
      </c>
      <c r="P34" t="s">
        <v>1</v>
      </c>
      <c r="Q34" t="s">
        <v>7</v>
      </c>
      <c r="R34" t="s">
        <v>112</v>
      </c>
      <c r="T34">
        <v>6</v>
      </c>
      <c r="U34" t="s">
        <v>10</v>
      </c>
      <c r="V34">
        <f t="shared" si="0"/>
        <v>6</v>
      </c>
      <c r="W34">
        <v>1</v>
      </c>
      <c r="X34" t="s">
        <v>13</v>
      </c>
      <c r="Z34" s="1">
        <v>32</v>
      </c>
      <c r="AA34" s="2">
        <v>232595.20000000001</v>
      </c>
      <c r="AB34">
        <v>216</v>
      </c>
      <c r="AC34">
        <v>0</v>
      </c>
      <c r="AD34">
        <v>27</v>
      </c>
    </row>
    <row r="35" spans="1:30" x14ac:dyDescent="0.25">
      <c r="A35" t="s">
        <v>0</v>
      </c>
      <c r="B35" t="s">
        <v>1</v>
      </c>
      <c r="C35" t="s">
        <v>2</v>
      </c>
      <c r="D35" t="s">
        <v>3</v>
      </c>
      <c r="E35" t="s">
        <v>4</v>
      </c>
      <c r="F35" t="s">
        <v>5</v>
      </c>
      <c r="G35" t="s">
        <v>45</v>
      </c>
      <c r="H35" t="s">
        <v>7</v>
      </c>
      <c r="I35" t="s">
        <v>46</v>
      </c>
      <c r="L35" t="s">
        <v>14</v>
      </c>
      <c r="M35">
        <v>33</v>
      </c>
      <c r="N35" t="s">
        <v>113</v>
      </c>
      <c r="P35" t="s">
        <v>1</v>
      </c>
      <c r="Q35" t="s">
        <v>7</v>
      </c>
      <c r="R35" t="s">
        <v>115</v>
      </c>
      <c r="T35">
        <v>216</v>
      </c>
      <c r="U35" t="s">
        <v>10</v>
      </c>
      <c r="V35">
        <f t="shared" si="0"/>
        <v>0</v>
      </c>
      <c r="W35">
        <v>27</v>
      </c>
      <c r="X35" t="s">
        <v>13</v>
      </c>
      <c r="Z35" s="1">
        <v>33</v>
      </c>
      <c r="AA35" s="2">
        <v>164601.60000000001</v>
      </c>
      <c r="AB35">
        <v>152</v>
      </c>
      <c r="AC35">
        <v>0</v>
      </c>
      <c r="AD35">
        <v>19</v>
      </c>
    </row>
    <row r="36" spans="1:30" x14ac:dyDescent="0.25">
      <c r="A36" t="s">
        <v>0</v>
      </c>
      <c r="B36" t="s">
        <v>9</v>
      </c>
      <c r="C36">
        <v>46</v>
      </c>
      <c r="D36" t="s">
        <v>10</v>
      </c>
      <c r="E36" t="s">
        <v>11</v>
      </c>
      <c r="F36" t="s">
        <v>12</v>
      </c>
      <c r="G36">
        <v>6</v>
      </c>
      <c r="H36" t="s">
        <v>13</v>
      </c>
      <c r="I36" t="s">
        <v>11</v>
      </c>
      <c r="L36" t="s">
        <v>14</v>
      </c>
      <c r="M36">
        <v>34</v>
      </c>
      <c r="N36" t="s">
        <v>116</v>
      </c>
      <c r="P36" t="s">
        <v>1</v>
      </c>
      <c r="Q36" t="s">
        <v>7</v>
      </c>
      <c r="R36" t="s">
        <v>118</v>
      </c>
      <c r="T36">
        <v>152</v>
      </c>
      <c r="U36" t="s">
        <v>10</v>
      </c>
      <c r="V36">
        <f t="shared" si="0"/>
        <v>0</v>
      </c>
      <c r="W36">
        <v>19</v>
      </c>
      <c r="X36" t="s">
        <v>13</v>
      </c>
      <c r="Z36" s="1">
        <v>34</v>
      </c>
      <c r="AA36" s="2">
        <v>118777.60000000001</v>
      </c>
      <c r="AB36">
        <v>110</v>
      </c>
      <c r="AC36">
        <v>6</v>
      </c>
      <c r="AD36">
        <v>14</v>
      </c>
    </row>
    <row r="37" spans="1:30" x14ac:dyDescent="0.25">
      <c r="A37" t="s">
        <v>0</v>
      </c>
      <c r="B37" t="s">
        <v>14</v>
      </c>
      <c r="C37" t="s">
        <v>15</v>
      </c>
      <c r="D37">
        <v>11</v>
      </c>
      <c r="E37" t="s">
        <v>4</v>
      </c>
      <c r="F37" t="s">
        <v>16</v>
      </c>
      <c r="G37" t="s">
        <v>47</v>
      </c>
      <c r="L37" t="s">
        <v>14</v>
      </c>
      <c r="M37">
        <v>35</v>
      </c>
      <c r="N37" t="s">
        <v>119</v>
      </c>
      <c r="P37" t="s">
        <v>1</v>
      </c>
      <c r="Q37" t="s">
        <v>7</v>
      </c>
      <c r="R37" t="s">
        <v>121</v>
      </c>
      <c r="T37">
        <v>110</v>
      </c>
      <c r="U37" t="s">
        <v>10</v>
      </c>
      <c r="V37">
        <f t="shared" si="0"/>
        <v>6</v>
      </c>
      <c r="W37">
        <v>14</v>
      </c>
      <c r="X37" t="s">
        <v>13</v>
      </c>
      <c r="Z37" s="1">
        <v>35</v>
      </c>
      <c r="AA37" s="2">
        <v>78022.399999999994</v>
      </c>
      <c r="AB37">
        <v>72</v>
      </c>
      <c r="AC37">
        <v>0</v>
      </c>
      <c r="AD37">
        <v>9</v>
      </c>
    </row>
    <row r="38" spans="1:30" x14ac:dyDescent="0.25">
      <c r="A38" t="s">
        <v>0</v>
      </c>
      <c r="B38" t="s">
        <v>1</v>
      </c>
      <c r="C38" t="s">
        <v>2</v>
      </c>
      <c r="D38" t="s">
        <v>3</v>
      </c>
      <c r="E38" t="s">
        <v>4</v>
      </c>
      <c r="F38" t="s">
        <v>5</v>
      </c>
      <c r="G38" t="s">
        <v>48</v>
      </c>
      <c r="H38" t="s">
        <v>7</v>
      </c>
      <c r="I38" t="s">
        <v>49</v>
      </c>
      <c r="L38" t="s">
        <v>14</v>
      </c>
      <c r="M38">
        <v>36</v>
      </c>
      <c r="N38" t="s">
        <v>122</v>
      </c>
      <c r="P38" t="s">
        <v>1</v>
      </c>
      <c r="Q38" t="s">
        <v>7</v>
      </c>
      <c r="R38" t="s">
        <v>124</v>
      </c>
      <c r="T38">
        <v>72</v>
      </c>
      <c r="U38" t="s">
        <v>10</v>
      </c>
      <c r="V38">
        <f t="shared" si="0"/>
        <v>0</v>
      </c>
      <c r="W38">
        <v>9</v>
      </c>
      <c r="X38" t="s">
        <v>13</v>
      </c>
      <c r="Z38" s="1">
        <v>36</v>
      </c>
      <c r="AA38" s="2">
        <v>50937.599999999999</v>
      </c>
      <c r="AB38">
        <v>46</v>
      </c>
      <c r="AC38">
        <v>6</v>
      </c>
      <c r="AD38">
        <v>6</v>
      </c>
    </row>
    <row r="39" spans="1:30" x14ac:dyDescent="0.25">
      <c r="A39" t="s">
        <v>0</v>
      </c>
      <c r="B39" t="s">
        <v>9</v>
      </c>
      <c r="C39">
        <v>232</v>
      </c>
      <c r="D39" t="s">
        <v>10</v>
      </c>
      <c r="E39" t="s">
        <v>11</v>
      </c>
      <c r="F39" t="s">
        <v>12</v>
      </c>
      <c r="G39">
        <v>29</v>
      </c>
      <c r="H39" t="s">
        <v>13</v>
      </c>
      <c r="I39" t="s">
        <v>11</v>
      </c>
      <c r="L39" t="s">
        <v>14</v>
      </c>
      <c r="M39">
        <v>37</v>
      </c>
      <c r="N39" t="s">
        <v>125</v>
      </c>
      <c r="P39" t="s">
        <v>1</v>
      </c>
      <c r="Q39" t="s">
        <v>7</v>
      </c>
      <c r="R39" t="s">
        <v>127</v>
      </c>
      <c r="T39">
        <v>46</v>
      </c>
      <c r="U39" t="s">
        <v>10</v>
      </c>
      <c r="V39">
        <f t="shared" si="0"/>
        <v>6</v>
      </c>
      <c r="W39">
        <v>6</v>
      </c>
      <c r="X39" t="s">
        <v>13</v>
      </c>
      <c r="Z39" s="1">
        <v>37</v>
      </c>
      <c r="AA39" s="2">
        <v>35168</v>
      </c>
      <c r="AB39">
        <v>32</v>
      </c>
      <c r="AC39">
        <v>0</v>
      </c>
      <c r="AD39">
        <v>4</v>
      </c>
    </row>
    <row r="40" spans="1:30" x14ac:dyDescent="0.25">
      <c r="A40" t="s">
        <v>0</v>
      </c>
      <c r="B40" t="s">
        <v>14</v>
      </c>
      <c r="C40" t="s">
        <v>15</v>
      </c>
      <c r="D40">
        <v>12</v>
      </c>
      <c r="E40" t="s">
        <v>4</v>
      </c>
      <c r="F40" t="s">
        <v>16</v>
      </c>
      <c r="G40" t="s">
        <v>50</v>
      </c>
      <c r="L40" t="s">
        <v>14</v>
      </c>
      <c r="M40">
        <v>38</v>
      </c>
      <c r="N40" t="s">
        <v>128</v>
      </c>
      <c r="P40" t="s">
        <v>1</v>
      </c>
      <c r="Q40" t="s">
        <v>7</v>
      </c>
      <c r="R40" t="s">
        <v>130</v>
      </c>
      <c r="T40">
        <v>32</v>
      </c>
      <c r="U40" t="s">
        <v>10</v>
      </c>
      <c r="V40">
        <f t="shared" si="0"/>
        <v>0</v>
      </c>
      <c r="W40">
        <v>4</v>
      </c>
      <c r="X40" t="s">
        <v>13</v>
      </c>
      <c r="Z40" s="1">
        <v>38</v>
      </c>
      <c r="AA40" s="2">
        <v>220153.60000000001</v>
      </c>
      <c r="AB40">
        <v>206</v>
      </c>
      <c r="AC40">
        <v>6</v>
      </c>
      <c r="AD40">
        <v>26</v>
      </c>
    </row>
    <row r="41" spans="1:30" x14ac:dyDescent="0.25">
      <c r="A41" t="s">
        <v>0</v>
      </c>
      <c r="B41" t="s">
        <v>1</v>
      </c>
      <c r="C41" t="s">
        <v>2</v>
      </c>
      <c r="D41" t="s">
        <v>3</v>
      </c>
      <c r="E41" t="s">
        <v>4</v>
      </c>
      <c r="F41" t="s">
        <v>5</v>
      </c>
      <c r="G41" t="s">
        <v>51</v>
      </c>
      <c r="H41" t="s">
        <v>7</v>
      </c>
      <c r="I41" t="s">
        <v>52</v>
      </c>
      <c r="L41" t="s">
        <v>14</v>
      </c>
      <c r="M41">
        <v>39</v>
      </c>
      <c r="N41" t="s">
        <v>131</v>
      </c>
      <c r="P41" t="s">
        <v>1</v>
      </c>
      <c r="Q41" t="s">
        <v>7</v>
      </c>
      <c r="R41" t="s">
        <v>133</v>
      </c>
      <c r="T41">
        <v>206</v>
      </c>
      <c r="U41" t="s">
        <v>10</v>
      </c>
      <c r="V41">
        <f t="shared" si="0"/>
        <v>6</v>
      </c>
      <c r="W41">
        <v>26</v>
      </c>
      <c r="X41" t="s">
        <v>13</v>
      </c>
      <c r="Z41" s="1">
        <v>39</v>
      </c>
      <c r="AA41" s="2">
        <v>77612.800000000003</v>
      </c>
      <c r="AB41">
        <v>72</v>
      </c>
      <c r="AC41">
        <v>0</v>
      </c>
      <c r="AD41">
        <v>9</v>
      </c>
    </row>
    <row r="42" spans="1:30" x14ac:dyDescent="0.25">
      <c r="A42" t="s">
        <v>0</v>
      </c>
      <c r="B42" t="s">
        <v>9</v>
      </c>
      <c r="C42">
        <v>2</v>
      </c>
      <c r="D42" t="s">
        <v>10</v>
      </c>
      <c r="E42" t="s">
        <v>11</v>
      </c>
      <c r="F42" t="s">
        <v>12</v>
      </c>
      <c r="G42">
        <v>0</v>
      </c>
      <c r="H42" t="s">
        <v>13</v>
      </c>
      <c r="I42" t="s">
        <v>11</v>
      </c>
      <c r="L42" t="s">
        <v>14</v>
      </c>
      <c r="M42">
        <v>40</v>
      </c>
      <c r="N42" t="s">
        <v>134</v>
      </c>
      <c r="P42" t="s">
        <v>1</v>
      </c>
      <c r="Q42" t="s">
        <v>7</v>
      </c>
      <c r="R42" t="s">
        <v>136</v>
      </c>
      <c r="T42">
        <v>72</v>
      </c>
      <c r="U42" t="s">
        <v>10</v>
      </c>
      <c r="V42">
        <f t="shared" si="0"/>
        <v>0</v>
      </c>
      <c r="W42">
        <v>9</v>
      </c>
      <c r="X42" t="s">
        <v>13</v>
      </c>
      <c r="Z42" s="1">
        <v>40</v>
      </c>
      <c r="AA42" s="2">
        <v>3731.2</v>
      </c>
      <c r="AB42">
        <v>2</v>
      </c>
      <c r="AC42">
        <v>2</v>
      </c>
      <c r="AD42">
        <v>0</v>
      </c>
    </row>
    <row r="43" spans="1:30" x14ac:dyDescent="0.25">
      <c r="A43" t="s">
        <v>0</v>
      </c>
      <c r="B43" t="s">
        <v>14</v>
      </c>
      <c r="C43" t="s">
        <v>15</v>
      </c>
      <c r="D43">
        <v>13</v>
      </c>
      <c r="E43" t="s">
        <v>4</v>
      </c>
      <c r="F43" t="s">
        <v>16</v>
      </c>
      <c r="G43" t="s">
        <v>53</v>
      </c>
      <c r="L43" t="s">
        <v>14</v>
      </c>
      <c r="M43">
        <v>41</v>
      </c>
      <c r="N43" t="s">
        <v>137</v>
      </c>
      <c r="P43" t="s">
        <v>1</v>
      </c>
      <c r="Q43" t="s">
        <v>7</v>
      </c>
      <c r="R43" t="s">
        <v>139</v>
      </c>
      <c r="T43">
        <v>2</v>
      </c>
      <c r="U43" t="s">
        <v>10</v>
      </c>
      <c r="V43">
        <f t="shared" si="0"/>
        <v>2</v>
      </c>
      <c r="W43">
        <v>0</v>
      </c>
      <c r="X43" t="s">
        <v>13</v>
      </c>
      <c r="Z43" s="1">
        <v>41</v>
      </c>
      <c r="AA43" s="2">
        <v>32249.599999999999</v>
      </c>
      <c r="AB43">
        <v>29</v>
      </c>
      <c r="AC43">
        <v>5</v>
      </c>
      <c r="AD43">
        <v>3</v>
      </c>
    </row>
    <row r="44" spans="1:30" x14ac:dyDescent="0.25">
      <c r="A44" t="s">
        <v>0</v>
      </c>
      <c r="B44" t="s">
        <v>1</v>
      </c>
      <c r="C44" t="s">
        <v>2</v>
      </c>
      <c r="D44" t="s">
        <v>3</v>
      </c>
      <c r="E44" t="s">
        <v>4</v>
      </c>
      <c r="F44" t="s">
        <v>5</v>
      </c>
      <c r="G44" t="s">
        <v>54</v>
      </c>
      <c r="H44" t="s">
        <v>7</v>
      </c>
      <c r="I44" t="s">
        <v>55</v>
      </c>
      <c r="L44" t="s">
        <v>14</v>
      </c>
      <c r="M44">
        <v>42</v>
      </c>
      <c r="N44" t="s">
        <v>140</v>
      </c>
      <c r="P44" t="s">
        <v>1</v>
      </c>
      <c r="Q44" t="s">
        <v>7</v>
      </c>
      <c r="R44" t="s">
        <v>142</v>
      </c>
      <c r="T44">
        <v>29</v>
      </c>
      <c r="U44" t="s">
        <v>10</v>
      </c>
      <c r="V44">
        <f t="shared" si="0"/>
        <v>5</v>
      </c>
      <c r="W44">
        <v>3</v>
      </c>
      <c r="X44" t="s">
        <v>13</v>
      </c>
      <c r="Z44" s="1">
        <v>42</v>
      </c>
      <c r="AA44" s="2">
        <v>25388.799999999999</v>
      </c>
      <c r="AB44">
        <v>22</v>
      </c>
      <c r="AC44">
        <v>6</v>
      </c>
      <c r="AD44">
        <v>3</v>
      </c>
    </row>
    <row r="45" spans="1:30" x14ac:dyDescent="0.25">
      <c r="A45" t="s">
        <v>0</v>
      </c>
      <c r="B45" t="s">
        <v>9</v>
      </c>
      <c r="C45">
        <v>13</v>
      </c>
      <c r="D45" t="s">
        <v>10</v>
      </c>
      <c r="E45" t="s">
        <v>11</v>
      </c>
      <c r="F45" t="s">
        <v>12</v>
      </c>
      <c r="G45">
        <v>1</v>
      </c>
      <c r="H45" t="s">
        <v>13</v>
      </c>
      <c r="I45" t="s">
        <v>11</v>
      </c>
      <c r="L45" t="s">
        <v>14</v>
      </c>
      <c r="M45">
        <v>43</v>
      </c>
      <c r="N45" t="s">
        <v>143</v>
      </c>
      <c r="P45" t="s">
        <v>1</v>
      </c>
      <c r="Q45" t="s">
        <v>7</v>
      </c>
      <c r="R45" t="s">
        <v>145</v>
      </c>
      <c r="T45">
        <v>22</v>
      </c>
      <c r="U45" t="s">
        <v>10</v>
      </c>
      <c r="V45">
        <f t="shared" si="0"/>
        <v>6</v>
      </c>
      <c r="W45">
        <v>3</v>
      </c>
      <c r="X45" t="s">
        <v>13</v>
      </c>
      <c r="Z45" s="1">
        <v>43</v>
      </c>
      <c r="AA45" s="2">
        <v>1888</v>
      </c>
      <c r="AB45">
        <v>0</v>
      </c>
      <c r="AC45">
        <v>0</v>
      </c>
      <c r="AD45">
        <v>0</v>
      </c>
    </row>
    <row r="46" spans="1:30" x14ac:dyDescent="0.25">
      <c r="A46" t="s">
        <v>0</v>
      </c>
      <c r="B46" t="s">
        <v>14</v>
      </c>
      <c r="C46" t="s">
        <v>15</v>
      </c>
      <c r="D46">
        <v>14</v>
      </c>
      <c r="E46" t="s">
        <v>4</v>
      </c>
      <c r="F46" t="s">
        <v>16</v>
      </c>
      <c r="G46" t="s">
        <v>56</v>
      </c>
      <c r="L46" t="s">
        <v>14</v>
      </c>
      <c r="M46">
        <v>44</v>
      </c>
      <c r="N46" t="s">
        <v>146</v>
      </c>
      <c r="P46" t="s">
        <v>1</v>
      </c>
      <c r="Q46" t="s">
        <v>7</v>
      </c>
      <c r="R46" t="s">
        <v>148</v>
      </c>
      <c r="T46">
        <v>0</v>
      </c>
      <c r="U46" t="s">
        <v>10</v>
      </c>
      <c r="V46">
        <f t="shared" si="0"/>
        <v>0</v>
      </c>
      <c r="W46">
        <v>0</v>
      </c>
      <c r="X46" t="s">
        <v>13</v>
      </c>
      <c r="Z46" s="1">
        <v>44</v>
      </c>
      <c r="AA46" s="2">
        <v>33785.599999999999</v>
      </c>
      <c r="AB46">
        <v>30</v>
      </c>
      <c r="AC46">
        <v>6</v>
      </c>
      <c r="AD46">
        <v>4</v>
      </c>
    </row>
    <row r="47" spans="1:30" x14ac:dyDescent="0.25">
      <c r="A47" t="s">
        <v>0</v>
      </c>
      <c r="B47" t="s">
        <v>1</v>
      </c>
      <c r="C47" t="s">
        <v>2</v>
      </c>
      <c r="D47" t="s">
        <v>3</v>
      </c>
      <c r="E47" t="s">
        <v>4</v>
      </c>
      <c r="F47" t="s">
        <v>5</v>
      </c>
      <c r="G47" t="s">
        <v>57</v>
      </c>
      <c r="H47" t="s">
        <v>7</v>
      </c>
      <c r="I47" t="s">
        <v>58</v>
      </c>
      <c r="L47" t="s">
        <v>14</v>
      </c>
      <c r="M47">
        <v>45</v>
      </c>
      <c r="N47" t="s">
        <v>149</v>
      </c>
      <c r="P47" t="s">
        <v>1</v>
      </c>
      <c r="Q47" t="s">
        <v>7</v>
      </c>
      <c r="R47" t="s">
        <v>52</v>
      </c>
      <c r="T47">
        <v>30</v>
      </c>
      <c r="U47" t="s">
        <v>10</v>
      </c>
      <c r="V47">
        <f t="shared" si="0"/>
        <v>6</v>
      </c>
      <c r="W47">
        <v>4</v>
      </c>
      <c r="X47" t="s">
        <v>13</v>
      </c>
      <c r="Z47" s="1">
        <v>45</v>
      </c>
      <c r="AA47" s="2">
        <v>3628.8</v>
      </c>
      <c r="AB47">
        <v>2</v>
      </c>
      <c r="AC47">
        <v>2</v>
      </c>
      <c r="AD47">
        <v>0</v>
      </c>
    </row>
    <row r="48" spans="1:30" x14ac:dyDescent="0.25">
      <c r="A48" t="s">
        <v>0</v>
      </c>
      <c r="B48" t="s">
        <v>9</v>
      </c>
      <c r="C48">
        <v>54</v>
      </c>
      <c r="D48" t="s">
        <v>10</v>
      </c>
      <c r="E48" t="s">
        <v>11</v>
      </c>
      <c r="F48" t="s">
        <v>12</v>
      </c>
      <c r="G48">
        <v>7</v>
      </c>
      <c r="H48" t="s">
        <v>13</v>
      </c>
      <c r="I48" t="s">
        <v>11</v>
      </c>
      <c r="L48" t="s">
        <v>14</v>
      </c>
      <c r="M48">
        <v>46</v>
      </c>
      <c r="N48" t="s">
        <v>151</v>
      </c>
      <c r="P48" t="s">
        <v>1</v>
      </c>
      <c r="Q48" t="s">
        <v>7</v>
      </c>
      <c r="R48" t="s">
        <v>153</v>
      </c>
      <c r="T48">
        <v>2</v>
      </c>
      <c r="U48" t="s">
        <v>10</v>
      </c>
      <c r="V48">
        <f t="shared" si="0"/>
        <v>2</v>
      </c>
      <c r="W48">
        <v>0</v>
      </c>
      <c r="X48" t="s">
        <v>13</v>
      </c>
      <c r="Z48" s="1">
        <v>46</v>
      </c>
      <c r="AA48" s="2">
        <v>32198.400000000001</v>
      </c>
      <c r="AB48">
        <v>28</v>
      </c>
      <c r="AC48">
        <v>4</v>
      </c>
      <c r="AD48">
        <v>4</v>
      </c>
    </row>
    <row r="49" spans="1:30" x14ac:dyDescent="0.25">
      <c r="A49" t="s">
        <v>0</v>
      </c>
      <c r="B49" t="s">
        <v>14</v>
      </c>
      <c r="C49" t="s">
        <v>15</v>
      </c>
      <c r="D49">
        <v>15</v>
      </c>
      <c r="E49" t="s">
        <v>4</v>
      </c>
      <c r="F49" t="s">
        <v>16</v>
      </c>
      <c r="G49" t="s">
        <v>59</v>
      </c>
      <c r="L49" t="s">
        <v>14</v>
      </c>
      <c r="M49">
        <v>47</v>
      </c>
      <c r="N49" t="s">
        <v>154</v>
      </c>
      <c r="P49" t="s">
        <v>1</v>
      </c>
      <c r="Q49" t="s">
        <v>7</v>
      </c>
      <c r="R49" t="s">
        <v>156</v>
      </c>
      <c r="T49">
        <v>28</v>
      </c>
      <c r="U49" t="s">
        <v>10</v>
      </c>
      <c r="V49">
        <f t="shared" si="0"/>
        <v>4</v>
      </c>
      <c r="W49">
        <v>4</v>
      </c>
      <c r="X49" t="s">
        <v>13</v>
      </c>
      <c r="Z49" s="1">
        <v>47</v>
      </c>
      <c r="AA49" s="2">
        <v>10899.2</v>
      </c>
      <c r="AB49">
        <v>8</v>
      </c>
      <c r="AC49">
        <v>0</v>
      </c>
      <c r="AD49">
        <v>1</v>
      </c>
    </row>
    <row r="50" spans="1:30" x14ac:dyDescent="0.25">
      <c r="A50" t="s">
        <v>0</v>
      </c>
      <c r="B50" t="s">
        <v>1</v>
      </c>
      <c r="C50" t="s">
        <v>2</v>
      </c>
      <c r="D50" t="s">
        <v>3</v>
      </c>
      <c r="E50" t="s">
        <v>4</v>
      </c>
      <c r="F50" t="s">
        <v>5</v>
      </c>
      <c r="G50" t="s">
        <v>60</v>
      </c>
      <c r="H50" t="s">
        <v>7</v>
      </c>
      <c r="I50" t="s">
        <v>61</v>
      </c>
      <c r="L50" t="s">
        <v>14</v>
      </c>
      <c r="M50">
        <v>48</v>
      </c>
      <c r="N50" t="s">
        <v>157</v>
      </c>
      <c r="P50" t="s">
        <v>1</v>
      </c>
      <c r="Q50" t="s">
        <v>7</v>
      </c>
      <c r="R50" t="s">
        <v>159</v>
      </c>
      <c r="T50">
        <v>8</v>
      </c>
      <c r="U50" t="s">
        <v>10</v>
      </c>
      <c r="V50">
        <f t="shared" si="0"/>
        <v>0</v>
      </c>
      <c r="W50">
        <v>1</v>
      </c>
      <c r="X50" t="s">
        <v>13</v>
      </c>
      <c r="Z50" s="1">
        <v>48</v>
      </c>
      <c r="AA50" s="2">
        <v>128608</v>
      </c>
      <c r="AB50">
        <v>118</v>
      </c>
      <c r="AC50">
        <v>6</v>
      </c>
      <c r="AD50">
        <v>15</v>
      </c>
    </row>
    <row r="51" spans="1:30" x14ac:dyDescent="0.25">
      <c r="A51" t="s">
        <v>0</v>
      </c>
      <c r="B51" t="s">
        <v>9</v>
      </c>
      <c r="C51">
        <v>152</v>
      </c>
      <c r="D51" t="s">
        <v>10</v>
      </c>
      <c r="E51" t="s">
        <v>11</v>
      </c>
      <c r="F51" t="s">
        <v>12</v>
      </c>
      <c r="G51">
        <v>19</v>
      </c>
      <c r="H51" t="s">
        <v>13</v>
      </c>
      <c r="I51" t="s">
        <v>11</v>
      </c>
      <c r="L51" t="s">
        <v>14</v>
      </c>
      <c r="M51">
        <v>49</v>
      </c>
      <c r="N51" t="s">
        <v>160</v>
      </c>
      <c r="P51" t="s">
        <v>1</v>
      </c>
      <c r="Q51" t="s">
        <v>7</v>
      </c>
      <c r="R51" t="s">
        <v>162</v>
      </c>
      <c r="T51">
        <v>118</v>
      </c>
      <c r="U51" t="s">
        <v>10</v>
      </c>
      <c r="V51">
        <f t="shared" si="0"/>
        <v>6</v>
      </c>
      <c r="W51">
        <v>15</v>
      </c>
      <c r="X51" t="s">
        <v>13</v>
      </c>
      <c r="Z51" s="1">
        <v>49</v>
      </c>
      <c r="AA51" s="2">
        <v>27692.799999999999</v>
      </c>
      <c r="AB51">
        <v>24</v>
      </c>
      <c r="AC51">
        <v>0</v>
      </c>
      <c r="AD51">
        <v>3</v>
      </c>
    </row>
    <row r="52" spans="1:30" x14ac:dyDescent="0.25">
      <c r="A52" t="s">
        <v>0</v>
      </c>
      <c r="B52" t="s">
        <v>14</v>
      </c>
      <c r="C52" t="s">
        <v>15</v>
      </c>
      <c r="D52">
        <v>16</v>
      </c>
      <c r="E52" t="s">
        <v>4</v>
      </c>
      <c r="F52" t="s">
        <v>16</v>
      </c>
      <c r="G52" t="s">
        <v>62</v>
      </c>
      <c r="L52" t="s">
        <v>14</v>
      </c>
      <c r="M52">
        <v>50</v>
      </c>
      <c r="N52" t="s">
        <v>163</v>
      </c>
      <c r="P52" t="s">
        <v>1</v>
      </c>
      <c r="Q52" t="s">
        <v>7</v>
      </c>
      <c r="R52" t="s">
        <v>165</v>
      </c>
      <c r="T52">
        <v>24</v>
      </c>
      <c r="U52" t="s">
        <v>10</v>
      </c>
      <c r="V52">
        <f t="shared" si="0"/>
        <v>0</v>
      </c>
      <c r="W52">
        <v>3</v>
      </c>
      <c r="X52" t="s">
        <v>13</v>
      </c>
      <c r="Z52" s="1">
        <v>50</v>
      </c>
      <c r="AA52" s="2">
        <v>110329.60000000001</v>
      </c>
      <c r="AB52">
        <v>102</v>
      </c>
      <c r="AC52">
        <v>6</v>
      </c>
      <c r="AD52">
        <v>13</v>
      </c>
    </row>
    <row r="53" spans="1:30" x14ac:dyDescent="0.25">
      <c r="A53" t="s">
        <v>0</v>
      </c>
      <c r="B53" t="s">
        <v>1</v>
      </c>
      <c r="C53" t="s">
        <v>2</v>
      </c>
      <c r="D53" t="s">
        <v>3</v>
      </c>
      <c r="E53" t="s">
        <v>4</v>
      </c>
      <c r="F53" t="s">
        <v>5</v>
      </c>
      <c r="G53" t="s">
        <v>63</v>
      </c>
      <c r="H53" t="s">
        <v>7</v>
      </c>
      <c r="I53" t="s">
        <v>64</v>
      </c>
      <c r="L53" t="s">
        <v>14</v>
      </c>
      <c r="M53">
        <v>51</v>
      </c>
      <c r="N53" t="s">
        <v>166</v>
      </c>
      <c r="P53" t="s">
        <v>1</v>
      </c>
      <c r="Q53" t="s">
        <v>7</v>
      </c>
      <c r="R53" t="s">
        <v>168</v>
      </c>
      <c r="T53">
        <v>102</v>
      </c>
      <c r="U53" t="s">
        <v>10</v>
      </c>
      <c r="V53">
        <f t="shared" si="0"/>
        <v>6</v>
      </c>
      <c r="W53">
        <v>13</v>
      </c>
      <c r="X53" t="s">
        <v>13</v>
      </c>
      <c r="Z53" s="1">
        <v>51</v>
      </c>
      <c r="AA53" s="2">
        <v>70700.800000000003</v>
      </c>
      <c r="AB53">
        <v>64</v>
      </c>
      <c r="AC53">
        <v>0</v>
      </c>
      <c r="AD53">
        <v>8</v>
      </c>
    </row>
    <row r="54" spans="1:30" x14ac:dyDescent="0.25">
      <c r="A54" t="s">
        <v>0</v>
      </c>
      <c r="B54" t="s">
        <v>9</v>
      </c>
      <c r="C54">
        <v>174</v>
      </c>
      <c r="D54" t="s">
        <v>10</v>
      </c>
      <c r="E54" t="s">
        <v>11</v>
      </c>
      <c r="F54" t="s">
        <v>12</v>
      </c>
      <c r="G54">
        <v>22</v>
      </c>
      <c r="H54" t="s">
        <v>13</v>
      </c>
      <c r="I54" t="s">
        <v>11</v>
      </c>
      <c r="L54" t="s">
        <v>14</v>
      </c>
      <c r="M54">
        <v>52</v>
      </c>
      <c r="N54" t="s">
        <v>169</v>
      </c>
      <c r="P54" t="s">
        <v>1</v>
      </c>
      <c r="Q54" t="s">
        <v>7</v>
      </c>
      <c r="R54" t="s">
        <v>171</v>
      </c>
      <c r="T54">
        <v>64</v>
      </c>
      <c r="U54" t="s">
        <v>10</v>
      </c>
      <c r="V54">
        <f t="shared" si="0"/>
        <v>0</v>
      </c>
      <c r="W54">
        <v>8</v>
      </c>
      <c r="X54" t="s">
        <v>13</v>
      </c>
      <c r="Z54" s="1">
        <v>52</v>
      </c>
      <c r="AA54" s="2">
        <v>248108.79999999999</v>
      </c>
      <c r="AB54">
        <v>230</v>
      </c>
      <c r="AC54">
        <v>6</v>
      </c>
      <c r="AD54">
        <v>29</v>
      </c>
    </row>
    <row r="55" spans="1:30" x14ac:dyDescent="0.25">
      <c r="A55" t="s">
        <v>0</v>
      </c>
      <c r="B55" t="s">
        <v>14</v>
      </c>
      <c r="C55" t="s">
        <v>15</v>
      </c>
      <c r="D55">
        <v>17</v>
      </c>
      <c r="E55" t="s">
        <v>4</v>
      </c>
      <c r="F55" t="s">
        <v>16</v>
      </c>
      <c r="G55" t="s">
        <v>65</v>
      </c>
      <c r="L55" t="s">
        <v>14</v>
      </c>
      <c r="M55">
        <v>53</v>
      </c>
      <c r="N55" t="s">
        <v>172</v>
      </c>
      <c r="P55" t="s">
        <v>1</v>
      </c>
      <c r="Q55" t="s">
        <v>7</v>
      </c>
      <c r="R55" t="s">
        <v>174</v>
      </c>
      <c r="T55">
        <v>230</v>
      </c>
      <c r="U55" t="s">
        <v>10</v>
      </c>
      <c r="V55">
        <f t="shared" si="0"/>
        <v>6</v>
      </c>
      <c r="W55">
        <v>29</v>
      </c>
      <c r="X55" t="s">
        <v>13</v>
      </c>
      <c r="Z55" s="1">
        <v>53</v>
      </c>
      <c r="AA55" s="2">
        <v>234489.60000000001</v>
      </c>
      <c r="AB55">
        <v>216</v>
      </c>
      <c r="AC55">
        <v>0</v>
      </c>
      <c r="AD55">
        <v>27</v>
      </c>
    </row>
    <row r="56" spans="1:30" x14ac:dyDescent="0.25">
      <c r="A56" t="s">
        <v>0</v>
      </c>
      <c r="B56" t="s">
        <v>1</v>
      </c>
      <c r="C56" t="s">
        <v>2</v>
      </c>
      <c r="D56" t="s">
        <v>3</v>
      </c>
      <c r="E56" t="s">
        <v>4</v>
      </c>
      <c r="F56" t="s">
        <v>5</v>
      </c>
      <c r="G56" t="s">
        <v>66</v>
      </c>
      <c r="H56" t="s">
        <v>7</v>
      </c>
      <c r="I56" t="s">
        <v>67</v>
      </c>
      <c r="L56" t="s">
        <v>14</v>
      </c>
      <c r="M56">
        <v>54</v>
      </c>
      <c r="N56" t="s">
        <v>175</v>
      </c>
      <c r="P56" t="s">
        <v>1</v>
      </c>
      <c r="Q56" t="s">
        <v>7</v>
      </c>
      <c r="R56" t="s">
        <v>177</v>
      </c>
      <c r="T56">
        <v>216</v>
      </c>
      <c r="U56" t="s">
        <v>10</v>
      </c>
      <c r="V56">
        <f t="shared" si="0"/>
        <v>0</v>
      </c>
      <c r="W56">
        <v>27</v>
      </c>
      <c r="X56" t="s">
        <v>13</v>
      </c>
      <c r="Z56" s="1">
        <v>54</v>
      </c>
      <c r="AA56" s="2">
        <v>220563.20000000001</v>
      </c>
      <c r="AB56">
        <v>206</v>
      </c>
      <c r="AC56">
        <v>6</v>
      </c>
      <c r="AD56">
        <v>26</v>
      </c>
    </row>
    <row r="57" spans="1:30" x14ac:dyDescent="0.25">
      <c r="A57" t="s">
        <v>0</v>
      </c>
      <c r="B57" t="s">
        <v>9</v>
      </c>
      <c r="C57">
        <v>56</v>
      </c>
      <c r="D57" t="s">
        <v>10</v>
      </c>
      <c r="E57" t="s">
        <v>11</v>
      </c>
      <c r="F57" t="s">
        <v>12</v>
      </c>
      <c r="G57">
        <v>7</v>
      </c>
      <c r="H57" t="s">
        <v>13</v>
      </c>
      <c r="I57" t="s">
        <v>11</v>
      </c>
      <c r="L57" t="s">
        <v>14</v>
      </c>
      <c r="M57">
        <v>55</v>
      </c>
      <c r="N57" t="s">
        <v>178</v>
      </c>
      <c r="P57" t="s">
        <v>1</v>
      </c>
      <c r="Q57" t="s">
        <v>7</v>
      </c>
      <c r="R57" t="s">
        <v>180</v>
      </c>
      <c r="T57">
        <v>206</v>
      </c>
      <c r="U57" t="s">
        <v>10</v>
      </c>
      <c r="V57">
        <f t="shared" si="0"/>
        <v>6</v>
      </c>
      <c r="W57">
        <v>26</v>
      </c>
      <c r="X57" t="s">
        <v>13</v>
      </c>
      <c r="Z57" s="1">
        <v>55</v>
      </c>
      <c r="AA57" s="2">
        <v>138387.20000000001</v>
      </c>
      <c r="AB57">
        <v>128</v>
      </c>
      <c r="AC57">
        <v>0</v>
      </c>
      <c r="AD57">
        <v>16</v>
      </c>
    </row>
    <row r="58" spans="1:30" x14ac:dyDescent="0.25">
      <c r="A58" t="s">
        <v>0</v>
      </c>
      <c r="B58" t="s">
        <v>14</v>
      </c>
      <c r="C58" t="s">
        <v>15</v>
      </c>
      <c r="D58">
        <v>18</v>
      </c>
      <c r="E58" t="s">
        <v>4</v>
      </c>
      <c r="F58" t="s">
        <v>16</v>
      </c>
      <c r="G58" t="s">
        <v>68</v>
      </c>
      <c r="L58" t="s">
        <v>14</v>
      </c>
      <c r="M58">
        <v>56</v>
      </c>
      <c r="N58" t="s">
        <v>181</v>
      </c>
      <c r="P58" t="s">
        <v>1</v>
      </c>
      <c r="Q58" t="s">
        <v>7</v>
      </c>
      <c r="R58" t="s">
        <v>183</v>
      </c>
      <c r="T58">
        <v>128</v>
      </c>
      <c r="U58" t="s">
        <v>10</v>
      </c>
      <c r="V58">
        <f t="shared" si="0"/>
        <v>0</v>
      </c>
      <c r="W58">
        <v>16</v>
      </c>
      <c r="X58" t="s">
        <v>13</v>
      </c>
      <c r="Z58" s="1">
        <v>56</v>
      </c>
      <c r="AA58" s="2">
        <v>241094.39999999999</v>
      </c>
      <c r="AB58">
        <v>224</v>
      </c>
      <c r="AC58">
        <v>0</v>
      </c>
      <c r="AD58">
        <v>28</v>
      </c>
    </row>
    <row r="59" spans="1:30" x14ac:dyDescent="0.25">
      <c r="A59" t="s">
        <v>0</v>
      </c>
      <c r="B59" t="s">
        <v>1</v>
      </c>
      <c r="C59" t="s">
        <v>2</v>
      </c>
      <c r="D59" t="s">
        <v>3</v>
      </c>
      <c r="E59" t="s">
        <v>4</v>
      </c>
      <c r="F59" t="s">
        <v>5</v>
      </c>
      <c r="G59" t="s">
        <v>69</v>
      </c>
      <c r="H59" t="s">
        <v>7</v>
      </c>
      <c r="I59" t="s">
        <v>70</v>
      </c>
      <c r="L59" t="s">
        <v>14</v>
      </c>
      <c r="M59">
        <v>57</v>
      </c>
      <c r="N59" t="s">
        <v>184</v>
      </c>
      <c r="P59" t="s">
        <v>1</v>
      </c>
      <c r="Q59" t="s">
        <v>7</v>
      </c>
      <c r="R59" t="s">
        <v>186</v>
      </c>
      <c r="T59">
        <v>224</v>
      </c>
      <c r="U59" t="s">
        <v>10</v>
      </c>
      <c r="V59">
        <f t="shared" si="0"/>
        <v>0</v>
      </c>
      <c r="W59">
        <v>28</v>
      </c>
      <c r="X59" t="s">
        <v>13</v>
      </c>
      <c r="Z59" s="1">
        <v>57</v>
      </c>
      <c r="AA59" s="2">
        <v>180780.79999999999</v>
      </c>
      <c r="AB59">
        <v>166</v>
      </c>
      <c r="AC59">
        <v>6</v>
      </c>
      <c r="AD59">
        <v>21</v>
      </c>
    </row>
    <row r="60" spans="1:30" x14ac:dyDescent="0.25">
      <c r="A60" t="s">
        <v>0</v>
      </c>
      <c r="B60" t="s">
        <v>9</v>
      </c>
      <c r="C60">
        <v>30</v>
      </c>
      <c r="D60" t="s">
        <v>10</v>
      </c>
      <c r="E60" t="s">
        <v>11</v>
      </c>
      <c r="F60" t="s">
        <v>12</v>
      </c>
      <c r="G60">
        <v>4</v>
      </c>
      <c r="H60" t="s">
        <v>13</v>
      </c>
      <c r="I60" t="s">
        <v>11</v>
      </c>
      <c r="L60" t="s">
        <v>14</v>
      </c>
      <c r="M60">
        <v>58</v>
      </c>
      <c r="N60" t="s">
        <v>187</v>
      </c>
      <c r="P60" t="s">
        <v>1</v>
      </c>
      <c r="Q60" t="s">
        <v>7</v>
      </c>
      <c r="R60" t="s">
        <v>189</v>
      </c>
      <c r="T60">
        <v>166</v>
      </c>
      <c r="U60" t="s">
        <v>10</v>
      </c>
      <c r="V60">
        <f t="shared" si="0"/>
        <v>6</v>
      </c>
      <c r="W60">
        <v>21</v>
      </c>
      <c r="X60" t="s">
        <v>13</v>
      </c>
      <c r="Z60" s="1">
        <v>58</v>
      </c>
      <c r="AA60" s="2">
        <v>10387.200000000001</v>
      </c>
      <c r="AB60">
        <v>8</v>
      </c>
      <c r="AC60">
        <v>0</v>
      </c>
      <c r="AD60">
        <v>1</v>
      </c>
    </row>
    <row r="61" spans="1:30" x14ac:dyDescent="0.25">
      <c r="A61" t="s">
        <v>0</v>
      </c>
      <c r="B61" t="s">
        <v>14</v>
      </c>
      <c r="C61" t="s">
        <v>15</v>
      </c>
      <c r="D61">
        <v>19</v>
      </c>
      <c r="E61" t="s">
        <v>4</v>
      </c>
      <c r="F61" t="s">
        <v>16</v>
      </c>
      <c r="G61" t="s">
        <v>71</v>
      </c>
      <c r="L61" t="s">
        <v>14</v>
      </c>
      <c r="M61">
        <v>59</v>
      </c>
      <c r="N61" t="s">
        <v>190</v>
      </c>
      <c r="P61" t="s">
        <v>1</v>
      </c>
      <c r="Q61" t="s">
        <v>7</v>
      </c>
      <c r="R61" t="s">
        <v>192</v>
      </c>
      <c r="T61">
        <v>8</v>
      </c>
      <c r="U61" t="s">
        <v>10</v>
      </c>
      <c r="V61">
        <f t="shared" si="0"/>
        <v>0</v>
      </c>
      <c r="W61">
        <v>1</v>
      </c>
      <c r="X61" t="s">
        <v>13</v>
      </c>
      <c r="Z61" s="1">
        <v>59</v>
      </c>
      <c r="AA61" s="2">
        <v>25184</v>
      </c>
      <c r="AB61">
        <v>22</v>
      </c>
      <c r="AC61">
        <v>6</v>
      </c>
      <c r="AD61">
        <v>3</v>
      </c>
    </row>
    <row r="62" spans="1:30" x14ac:dyDescent="0.25">
      <c r="A62" t="s">
        <v>0</v>
      </c>
      <c r="B62" t="s">
        <v>1</v>
      </c>
      <c r="C62" t="s">
        <v>2</v>
      </c>
      <c r="D62" t="s">
        <v>3</v>
      </c>
      <c r="E62" t="s">
        <v>4</v>
      </c>
      <c r="F62" t="s">
        <v>5</v>
      </c>
      <c r="G62" t="s">
        <v>72</v>
      </c>
      <c r="H62" t="s">
        <v>7</v>
      </c>
      <c r="I62" t="s">
        <v>73</v>
      </c>
      <c r="L62" t="s">
        <v>14</v>
      </c>
      <c r="M62">
        <v>60</v>
      </c>
      <c r="N62" t="s">
        <v>193</v>
      </c>
      <c r="P62" t="s">
        <v>1</v>
      </c>
      <c r="Q62" t="s">
        <v>7</v>
      </c>
      <c r="R62" t="s">
        <v>195</v>
      </c>
      <c r="T62">
        <v>22</v>
      </c>
      <c r="U62" t="s">
        <v>10</v>
      </c>
      <c r="V62">
        <f t="shared" si="0"/>
        <v>6</v>
      </c>
      <c r="W62">
        <v>3</v>
      </c>
      <c r="X62" t="s">
        <v>13</v>
      </c>
      <c r="Z62" s="1">
        <v>60</v>
      </c>
      <c r="AA62" s="2">
        <v>254969.60000000001</v>
      </c>
      <c r="AB62">
        <v>238</v>
      </c>
      <c r="AC62">
        <v>6</v>
      </c>
      <c r="AD62">
        <v>30</v>
      </c>
    </row>
    <row r="63" spans="1:30" x14ac:dyDescent="0.25">
      <c r="A63" t="s">
        <v>0</v>
      </c>
      <c r="B63" t="s">
        <v>9</v>
      </c>
      <c r="C63">
        <v>0</v>
      </c>
      <c r="D63" t="s">
        <v>10</v>
      </c>
      <c r="E63" t="s">
        <v>11</v>
      </c>
      <c r="F63" t="s">
        <v>12</v>
      </c>
      <c r="G63">
        <v>0</v>
      </c>
      <c r="H63" t="s">
        <v>13</v>
      </c>
      <c r="I63" t="s">
        <v>11</v>
      </c>
      <c r="L63" t="s">
        <v>14</v>
      </c>
      <c r="M63">
        <v>61</v>
      </c>
      <c r="N63" t="s">
        <v>196</v>
      </c>
      <c r="P63" t="s">
        <v>1</v>
      </c>
      <c r="Q63" t="s">
        <v>7</v>
      </c>
      <c r="R63" t="s">
        <v>198</v>
      </c>
      <c r="T63">
        <v>238</v>
      </c>
      <c r="U63" t="s">
        <v>10</v>
      </c>
      <c r="V63">
        <f t="shared" si="0"/>
        <v>6</v>
      </c>
      <c r="W63">
        <v>30</v>
      </c>
      <c r="X63" t="s">
        <v>13</v>
      </c>
      <c r="Z63" s="1">
        <v>61</v>
      </c>
      <c r="AA63" s="2">
        <v>241196.79999999999</v>
      </c>
      <c r="AB63">
        <v>224</v>
      </c>
      <c r="AC63">
        <v>0</v>
      </c>
      <c r="AD63">
        <v>28</v>
      </c>
    </row>
    <row r="64" spans="1:30" x14ac:dyDescent="0.25">
      <c r="A64" t="s">
        <v>0</v>
      </c>
      <c r="B64" t="s">
        <v>14</v>
      </c>
      <c r="C64" t="s">
        <v>15</v>
      </c>
      <c r="D64">
        <v>20</v>
      </c>
      <c r="E64" t="s">
        <v>4</v>
      </c>
      <c r="F64" t="s">
        <v>16</v>
      </c>
      <c r="G64" t="s">
        <v>74</v>
      </c>
      <c r="L64" t="s">
        <v>14</v>
      </c>
      <c r="M64">
        <v>62</v>
      </c>
      <c r="N64" t="s">
        <v>199</v>
      </c>
      <c r="P64" t="s">
        <v>1</v>
      </c>
      <c r="Q64" t="s">
        <v>7</v>
      </c>
      <c r="R64" t="s">
        <v>201</v>
      </c>
      <c r="T64">
        <v>224</v>
      </c>
      <c r="U64" t="s">
        <v>10</v>
      </c>
      <c r="V64">
        <f t="shared" si="0"/>
        <v>0</v>
      </c>
      <c r="W64">
        <v>28</v>
      </c>
      <c r="X64" t="s">
        <v>13</v>
      </c>
      <c r="Z64" s="1">
        <v>62</v>
      </c>
      <c r="AA64" s="2">
        <v>203104</v>
      </c>
      <c r="AB64">
        <v>190</v>
      </c>
      <c r="AC64">
        <v>6</v>
      </c>
      <c r="AD64">
        <v>24</v>
      </c>
    </row>
    <row r="65" spans="1:30" x14ac:dyDescent="0.25">
      <c r="A65" t="s">
        <v>0</v>
      </c>
      <c r="B65" t="s">
        <v>1</v>
      </c>
      <c r="C65" t="s">
        <v>2</v>
      </c>
      <c r="D65" t="s">
        <v>3</v>
      </c>
      <c r="E65" t="s">
        <v>4</v>
      </c>
      <c r="F65" t="s">
        <v>5</v>
      </c>
      <c r="G65" t="s">
        <v>75</v>
      </c>
      <c r="H65" t="s">
        <v>7</v>
      </c>
      <c r="I65" t="s">
        <v>76</v>
      </c>
      <c r="L65" t="s">
        <v>14</v>
      </c>
      <c r="M65">
        <v>63</v>
      </c>
      <c r="N65" t="s">
        <v>202</v>
      </c>
      <c r="P65" t="s">
        <v>1</v>
      </c>
      <c r="Q65" t="s">
        <v>7</v>
      </c>
      <c r="R65" t="s">
        <v>204</v>
      </c>
      <c r="T65">
        <v>190</v>
      </c>
      <c r="U65" t="s">
        <v>10</v>
      </c>
      <c r="V65">
        <f t="shared" si="0"/>
        <v>6</v>
      </c>
      <c r="W65">
        <v>24</v>
      </c>
      <c r="X65" t="s">
        <v>13</v>
      </c>
      <c r="Z65" s="1">
        <v>63</v>
      </c>
      <c r="AA65" s="2">
        <v>61484.800000000003</v>
      </c>
      <c r="AB65">
        <v>56</v>
      </c>
      <c r="AC65">
        <v>0</v>
      </c>
      <c r="AD65">
        <v>7</v>
      </c>
    </row>
    <row r="66" spans="1:30" x14ac:dyDescent="0.25">
      <c r="A66" t="s">
        <v>0</v>
      </c>
      <c r="B66" t="s">
        <v>9</v>
      </c>
      <c r="C66">
        <v>22</v>
      </c>
      <c r="D66" t="s">
        <v>10</v>
      </c>
      <c r="E66" t="s">
        <v>11</v>
      </c>
      <c r="F66" t="s">
        <v>12</v>
      </c>
      <c r="G66">
        <v>3</v>
      </c>
      <c r="H66" t="s">
        <v>13</v>
      </c>
      <c r="I66" t="s">
        <v>11</v>
      </c>
      <c r="L66" t="s">
        <v>14</v>
      </c>
      <c r="M66">
        <v>64</v>
      </c>
      <c r="N66" t="s">
        <v>205</v>
      </c>
      <c r="P66" t="s">
        <v>1</v>
      </c>
      <c r="Q66" t="s">
        <v>7</v>
      </c>
      <c r="R66" t="s">
        <v>207</v>
      </c>
      <c r="T66">
        <v>56</v>
      </c>
      <c r="U66" t="s">
        <v>10</v>
      </c>
      <c r="V66">
        <f t="shared" si="0"/>
        <v>0</v>
      </c>
      <c r="W66">
        <v>7</v>
      </c>
      <c r="X66" t="s">
        <v>13</v>
      </c>
      <c r="Z66" s="1">
        <v>64</v>
      </c>
      <c r="AA66" s="2">
        <v>111251.2</v>
      </c>
      <c r="AB66">
        <v>102</v>
      </c>
      <c r="AC66">
        <v>6</v>
      </c>
      <c r="AD66">
        <v>13</v>
      </c>
    </row>
    <row r="67" spans="1:30" x14ac:dyDescent="0.25">
      <c r="A67" t="s">
        <v>0</v>
      </c>
      <c r="B67" t="s">
        <v>14</v>
      </c>
      <c r="C67" t="s">
        <v>15</v>
      </c>
      <c r="D67">
        <v>21</v>
      </c>
      <c r="E67" t="s">
        <v>4</v>
      </c>
      <c r="F67" t="s">
        <v>16</v>
      </c>
      <c r="G67" t="s">
        <v>77</v>
      </c>
      <c r="T67">
        <v>102</v>
      </c>
      <c r="U67" t="s">
        <v>10</v>
      </c>
      <c r="V67">
        <f t="shared" ref="V67" si="1">MOD(T67,8)</f>
        <v>6</v>
      </c>
      <c r="W67">
        <v>13</v>
      </c>
      <c r="X67" t="s">
        <v>13</v>
      </c>
    </row>
    <row r="68" spans="1:30" x14ac:dyDescent="0.25">
      <c r="A68" t="s">
        <v>0</v>
      </c>
      <c r="B68" t="s">
        <v>1</v>
      </c>
      <c r="C68" t="s">
        <v>2</v>
      </c>
      <c r="D68" t="s">
        <v>3</v>
      </c>
      <c r="E68" t="s">
        <v>4</v>
      </c>
      <c r="F68" t="s">
        <v>5</v>
      </c>
      <c r="G68" t="s">
        <v>78</v>
      </c>
      <c r="H68" t="s">
        <v>7</v>
      </c>
      <c r="I68" t="s">
        <v>79</v>
      </c>
    </row>
    <row r="69" spans="1:30" x14ac:dyDescent="0.25">
      <c r="A69" t="s">
        <v>0</v>
      </c>
      <c r="B69" t="s">
        <v>9</v>
      </c>
      <c r="C69">
        <v>72</v>
      </c>
      <c r="D69" t="s">
        <v>10</v>
      </c>
      <c r="E69" t="s">
        <v>11</v>
      </c>
      <c r="F69" t="s">
        <v>12</v>
      </c>
      <c r="G69">
        <v>9</v>
      </c>
      <c r="H69" t="s">
        <v>13</v>
      </c>
      <c r="I69" t="s">
        <v>11</v>
      </c>
    </row>
    <row r="70" spans="1:30" x14ac:dyDescent="0.25">
      <c r="A70" t="s">
        <v>0</v>
      </c>
      <c r="B70" t="s">
        <v>14</v>
      </c>
      <c r="C70" t="s">
        <v>15</v>
      </c>
      <c r="D70">
        <v>22</v>
      </c>
      <c r="E70" t="s">
        <v>4</v>
      </c>
      <c r="F70" t="s">
        <v>16</v>
      </c>
      <c r="G70" t="s">
        <v>80</v>
      </c>
    </row>
    <row r="71" spans="1:30" x14ac:dyDescent="0.25">
      <c r="A71" t="s">
        <v>0</v>
      </c>
      <c r="B71" t="s">
        <v>1</v>
      </c>
      <c r="C71" t="s">
        <v>2</v>
      </c>
      <c r="D71" t="s">
        <v>3</v>
      </c>
      <c r="E71" t="s">
        <v>4</v>
      </c>
      <c r="F71" t="s">
        <v>5</v>
      </c>
      <c r="G71" t="s">
        <v>81</v>
      </c>
      <c r="H71" t="s">
        <v>7</v>
      </c>
      <c r="I71" t="s">
        <v>82</v>
      </c>
    </row>
    <row r="72" spans="1:30" x14ac:dyDescent="0.25">
      <c r="A72" t="s">
        <v>0</v>
      </c>
      <c r="B72" t="s">
        <v>9</v>
      </c>
      <c r="C72">
        <v>214</v>
      </c>
      <c r="D72" t="s">
        <v>10</v>
      </c>
      <c r="E72" t="s">
        <v>11</v>
      </c>
      <c r="F72" t="s">
        <v>12</v>
      </c>
      <c r="G72">
        <v>27</v>
      </c>
      <c r="H72" t="s">
        <v>13</v>
      </c>
      <c r="I72" t="s">
        <v>11</v>
      </c>
    </row>
    <row r="73" spans="1:30" x14ac:dyDescent="0.25">
      <c r="A73" t="s">
        <v>0</v>
      </c>
      <c r="B73" t="s">
        <v>14</v>
      </c>
      <c r="C73" t="s">
        <v>15</v>
      </c>
      <c r="D73">
        <v>23</v>
      </c>
      <c r="E73" t="s">
        <v>4</v>
      </c>
      <c r="F73" t="s">
        <v>16</v>
      </c>
      <c r="G73" t="s">
        <v>83</v>
      </c>
    </row>
    <row r="74" spans="1:30" x14ac:dyDescent="0.25">
      <c r="A74" t="s">
        <v>0</v>
      </c>
      <c r="B74" t="s">
        <v>1</v>
      </c>
      <c r="C74" t="s">
        <v>2</v>
      </c>
      <c r="D74" t="s">
        <v>3</v>
      </c>
      <c r="E74" t="s">
        <v>4</v>
      </c>
      <c r="F74" t="s">
        <v>5</v>
      </c>
      <c r="G74" t="s">
        <v>84</v>
      </c>
      <c r="H74" t="s">
        <v>7</v>
      </c>
      <c r="I74" t="s">
        <v>85</v>
      </c>
    </row>
    <row r="75" spans="1:30" x14ac:dyDescent="0.25">
      <c r="A75" t="s">
        <v>0</v>
      </c>
      <c r="B75" t="s">
        <v>9</v>
      </c>
      <c r="C75">
        <v>0</v>
      </c>
      <c r="D75" t="s">
        <v>10</v>
      </c>
      <c r="E75" t="s">
        <v>11</v>
      </c>
      <c r="F75" t="s">
        <v>12</v>
      </c>
      <c r="G75">
        <v>0</v>
      </c>
      <c r="H75" t="s">
        <v>13</v>
      </c>
      <c r="I75" t="s">
        <v>11</v>
      </c>
    </row>
    <row r="76" spans="1:30" x14ac:dyDescent="0.25">
      <c r="A76" t="s">
        <v>0</v>
      </c>
      <c r="B76" t="s">
        <v>14</v>
      </c>
      <c r="C76" t="s">
        <v>15</v>
      </c>
      <c r="D76">
        <v>24</v>
      </c>
      <c r="E76" t="s">
        <v>4</v>
      </c>
      <c r="F76" t="s">
        <v>16</v>
      </c>
      <c r="G76" t="s">
        <v>86</v>
      </c>
    </row>
    <row r="77" spans="1:30" x14ac:dyDescent="0.25">
      <c r="A77" t="s">
        <v>0</v>
      </c>
      <c r="B77" t="s">
        <v>1</v>
      </c>
      <c r="C77" t="s">
        <v>2</v>
      </c>
      <c r="D77" t="s">
        <v>3</v>
      </c>
      <c r="E77" t="s">
        <v>4</v>
      </c>
      <c r="F77" t="s">
        <v>5</v>
      </c>
      <c r="G77" t="s">
        <v>87</v>
      </c>
      <c r="H77" t="s">
        <v>7</v>
      </c>
      <c r="I77" t="s">
        <v>88</v>
      </c>
    </row>
    <row r="78" spans="1:30" x14ac:dyDescent="0.25">
      <c r="A78" t="s">
        <v>0</v>
      </c>
      <c r="B78" t="s">
        <v>9</v>
      </c>
      <c r="C78">
        <v>38</v>
      </c>
      <c r="D78" t="s">
        <v>10</v>
      </c>
      <c r="E78" t="s">
        <v>11</v>
      </c>
      <c r="F78" t="s">
        <v>12</v>
      </c>
      <c r="G78">
        <v>5</v>
      </c>
      <c r="H78" t="s">
        <v>13</v>
      </c>
      <c r="I78" t="s">
        <v>11</v>
      </c>
    </row>
    <row r="79" spans="1:30" x14ac:dyDescent="0.25">
      <c r="A79" t="s">
        <v>0</v>
      </c>
      <c r="B79" t="s">
        <v>14</v>
      </c>
      <c r="C79" t="s">
        <v>15</v>
      </c>
      <c r="D79">
        <v>25</v>
      </c>
      <c r="E79" t="s">
        <v>4</v>
      </c>
      <c r="F79" t="s">
        <v>16</v>
      </c>
      <c r="G79" t="s">
        <v>89</v>
      </c>
    </row>
    <row r="80" spans="1:30" x14ac:dyDescent="0.25">
      <c r="A80" t="s">
        <v>0</v>
      </c>
      <c r="B80" t="s">
        <v>1</v>
      </c>
      <c r="C80" t="s">
        <v>2</v>
      </c>
      <c r="D80" t="s">
        <v>3</v>
      </c>
      <c r="E80" t="s">
        <v>4</v>
      </c>
      <c r="F80" t="s">
        <v>5</v>
      </c>
      <c r="G80" t="s">
        <v>90</v>
      </c>
      <c r="H80" t="s">
        <v>7</v>
      </c>
      <c r="I80" t="s">
        <v>91</v>
      </c>
    </row>
    <row r="81" spans="1:9" x14ac:dyDescent="0.25">
      <c r="A81" t="s">
        <v>0</v>
      </c>
      <c r="B81" t="s">
        <v>9</v>
      </c>
      <c r="C81">
        <v>56</v>
      </c>
      <c r="D81" t="s">
        <v>10</v>
      </c>
      <c r="E81" t="s">
        <v>11</v>
      </c>
      <c r="F81" t="s">
        <v>12</v>
      </c>
      <c r="G81">
        <v>7</v>
      </c>
      <c r="H81" t="s">
        <v>13</v>
      </c>
      <c r="I81" t="s">
        <v>11</v>
      </c>
    </row>
    <row r="82" spans="1:9" x14ac:dyDescent="0.25">
      <c r="A82" t="s">
        <v>0</v>
      </c>
      <c r="B82" t="s">
        <v>14</v>
      </c>
      <c r="C82" t="s">
        <v>15</v>
      </c>
      <c r="D82">
        <v>26</v>
      </c>
      <c r="E82" t="s">
        <v>4</v>
      </c>
      <c r="F82" t="s">
        <v>16</v>
      </c>
      <c r="G82" t="s">
        <v>92</v>
      </c>
    </row>
    <row r="83" spans="1:9" x14ac:dyDescent="0.25">
      <c r="A83" t="s">
        <v>0</v>
      </c>
      <c r="B83" t="s">
        <v>1</v>
      </c>
      <c r="C83" t="s">
        <v>2</v>
      </c>
      <c r="D83" t="s">
        <v>3</v>
      </c>
      <c r="E83" t="s">
        <v>4</v>
      </c>
      <c r="F83" t="s">
        <v>5</v>
      </c>
      <c r="G83" t="s">
        <v>93</v>
      </c>
      <c r="H83" t="s">
        <v>7</v>
      </c>
      <c r="I83" t="s">
        <v>94</v>
      </c>
    </row>
    <row r="84" spans="1:9" x14ac:dyDescent="0.25">
      <c r="A84" t="s">
        <v>0</v>
      </c>
      <c r="B84" t="s">
        <v>9</v>
      </c>
      <c r="C84">
        <v>102</v>
      </c>
      <c r="D84" t="s">
        <v>10</v>
      </c>
      <c r="E84" t="s">
        <v>11</v>
      </c>
      <c r="F84" t="s">
        <v>12</v>
      </c>
      <c r="G84">
        <v>13</v>
      </c>
      <c r="H84" t="s">
        <v>13</v>
      </c>
      <c r="I84" t="s">
        <v>11</v>
      </c>
    </row>
    <row r="85" spans="1:9" x14ac:dyDescent="0.25">
      <c r="A85" t="s">
        <v>0</v>
      </c>
      <c r="B85" t="s">
        <v>14</v>
      </c>
      <c r="C85" t="s">
        <v>15</v>
      </c>
      <c r="D85">
        <v>27</v>
      </c>
      <c r="E85" t="s">
        <v>4</v>
      </c>
      <c r="F85" t="s">
        <v>16</v>
      </c>
      <c r="G85" t="s">
        <v>95</v>
      </c>
    </row>
    <row r="86" spans="1:9" x14ac:dyDescent="0.25">
      <c r="A86" t="s">
        <v>0</v>
      </c>
      <c r="B86" t="s">
        <v>1</v>
      </c>
      <c r="C86" t="s">
        <v>2</v>
      </c>
      <c r="D86" t="s">
        <v>3</v>
      </c>
      <c r="E86" t="s">
        <v>4</v>
      </c>
      <c r="F86" t="s">
        <v>5</v>
      </c>
      <c r="G86" t="s">
        <v>96</v>
      </c>
      <c r="H86" t="s">
        <v>7</v>
      </c>
      <c r="I86" t="s">
        <v>97</v>
      </c>
    </row>
    <row r="87" spans="1:9" x14ac:dyDescent="0.25">
      <c r="A87" t="s">
        <v>0</v>
      </c>
      <c r="B87" t="s">
        <v>9</v>
      </c>
      <c r="C87">
        <v>160</v>
      </c>
      <c r="D87" t="s">
        <v>10</v>
      </c>
      <c r="E87" t="s">
        <v>11</v>
      </c>
      <c r="F87" t="s">
        <v>12</v>
      </c>
      <c r="G87">
        <v>20</v>
      </c>
      <c r="H87" t="s">
        <v>13</v>
      </c>
      <c r="I87" t="s">
        <v>11</v>
      </c>
    </row>
    <row r="88" spans="1:9" x14ac:dyDescent="0.25">
      <c r="A88" t="s">
        <v>0</v>
      </c>
      <c r="B88" t="s">
        <v>14</v>
      </c>
      <c r="C88" t="s">
        <v>15</v>
      </c>
      <c r="D88">
        <v>28</v>
      </c>
      <c r="E88" t="s">
        <v>4</v>
      </c>
      <c r="F88" t="s">
        <v>16</v>
      </c>
      <c r="G88" t="s">
        <v>98</v>
      </c>
    </row>
    <row r="89" spans="1:9" x14ac:dyDescent="0.25">
      <c r="A89" t="s">
        <v>0</v>
      </c>
      <c r="B89" t="s">
        <v>1</v>
      </c>
      <c r="C89" t="s">
        <v>2</v>
      </c>
      <c r="D89" t="s">
        <v>3</v>
      </c>
      <c r="E89" t="s">
        <v>4</v>
      </c>
      <c r="F89" t="s">
        <v>5</v>
      </c>
      <c r="G89" t="s">
        <v>99</v>
      </c>
      <c r="H89" t="s">
        <v>7</v>
      </c>
      <c r="I89" t="s">
        <v>100</v>
      </c>
    </row>
    <row r="90" spans="1:9" x14ac:dyDescent="0.25">
      <c r="A90" t="s">
        <v>0</v>
      </c>
      <c r="B90" t="s">
        <v>9</v>
      </c>
      <c r="C90">
        <v>6</v>
      </c>
      <c r="D90" t="s">
        <v>10</v>
      </c>
      <c r="E90" t="s">
        <v>11</v>
      </c>
      <c r="F90" t="s">
        <v>12</v>
      </c>
      <c r="G90">
        <v>1</v>
      </c>
      <c r="H90" t="s">
        <v>13</v>
      </c>
      <c r="I90" t="s">
        <v>11</v>
      </c>
    </row>
    <row r="91" spans="1:9" x14ac:dyDescent="0.25">
      <c r="A91" t="s">
        <v>0</v>
      </c>
      <c r="B91" t="s">
        <v>14</v>
      </c>
      <c r="C91" t="s">
        <v>15</v>
      </c>
      <c r="D91">
        <v>29</v>
      </c>
      <c r="E91" t="s">
        <v>4</v>
      </c>
      <c r="F91" t="s">
        <v>16</v>
      </c>
      <c r="G91" t="s">
        <v>101</v>
      </c>
    </row>
    <row r="92" spans="1:9" x14ac:dyDescent="0.25">
      <c r="A92" t="s">
        <v>0</v>
      </c>
      <c r="B92" t="s">
        <v>1</v>
      </c>
      <c r="C92" t="s">
        <v>2</v>
      </c>
      <c r="D92" t="s">
        <v>3</v>
      </c>
      <c r="E92" t="s">
        <v>4</v>
      </c>
      <c r="F92" t="s">
        <v>5</v>
      </c>
      <c r="G92" t="s">
        <v>102</v>
      </c>
      <c r="H92" t="s">
        <v>7</v>
      </c>
      <c r="I92" t="s">
        <v>103</v>
      </c>
    </row>
    <row r="93" spans="1:9" x14ac:dyDescent="0.25">
      <c r="A93" t="s">
        <v>0</v>
      </c>
      <c r="B93" t="s">
        <v>9</v>
      </c>
      <c r="C93">
        <v>8</v>
      </c>
      <c r="D93" t="s">
        <v>10</v>
      </c>
      <c r="E93" t="s">
        <v>11</v>
      </c>
      <c r="F93" t="s">
        <v>12</v>
      </c>
      <c r="G93">
        <v>1</v>
      </c>
      <c r="H93" t="s">
        <v>13</v>
      </c>
      <c r="I93" t="s">
        <v>11</v>
      </c>
    </row>
    <row r="94" spans="1:9" x14ac:dyDescent="0.25">
      <c r="A94" t="s">
        <v>0</v>
      </c>
      <c r="B94" t="s">
        <v>14</v>
      </c>
      <c r="C94" t="s">
        <v>15</v>
      </c>
      <c r="D94">
        <v>30</v>
      </c>
      <c r="E94" t="s">
        <v>4</v>
      </c>
      <c r="F94" t="s">
        <v>16</v>
      </c>
      <c r="G94" t="s">
        <v>104</v>
      </c>
    </row>
    <row r="95" spans="1:9" x14ac:dyDescent="0.25">
      <c r="A95" t="s">
        <v>0</v>
      </c>
      <c r="B95" t="s">
        <v>1</v>
      </c>
      <c r="C95" t="s">
        <v>2</v>
      </c>
      <c r="D95" t="s">
        <v>3</v>
      </c>
      <c r="E95" t="s">
        <v>4</v>
      </c>
      <c r="F95" t="s">
        <v>5</v>
      </c>
      <c r="G95" t="s">
        <v>105</v>
      </c>
      <c r="H95" t="s">
        <v>7</v>
      </c>
      <c r="I95" t="s">
        <v>106</v>
      </c>
    </row>
    <row r="96" spans="1:9" x14ac:dyDescent="0.25">
      <c r="A96" t="s">
        <v>0</v>
      </c>
      <c r="B96" t="s">
        <v>9</v>
      </c>
      <c r="C96">
        <v>14</v>
      </c>
      <c r="D96" t="s">
        <v>10</v>
      </c>
      <c r="E96" t="s">
        <v>11</v>
      </c>
      <c r="F96" t="s">
        <v>12</v>
      </c>
      <c r="G96">
        <v>2</v>
      </c>
      <c r="H96" t="s">
        <v>13</v>
      </c>
      <c r="I96" t="s">
        <v>11</v>
      </c>
    </row>
    <row r="97" spans="1:9" x14ac:dyDescent="0.25">
      <c r="A97" t="s">
        <v>0</v>
      </c>
      <c r="B97" t="s">
        <v>14</v>
      </c>
      <c r="C97" t="s">
        <v>15</v>
      </c>
      <c r="D97">
        <v>31</v>
      </c>
      <c r="E97" t="s">
        <v>4</v>
      </c>
      <c r="F97" t="s">
        <v>16</v>
      </c>
      <c r="G97" t="s">
        <v>107</v>
      </c>
    </row>
    <row r="98" spans="1:9" x14ac:dyDescent="0.25">
      <c r="A98" t="s">
        <v>0</v>
      </c>
      <c r="B98" t="s">
        <v>1</v>
      </c>
      <c r="C98" t="s">
        <v>2</v>
      </c>
      <c r="D98" t="s">
        <v>3</v>
      </c>
      <c r="E98" t="s">
        <v>4</v>
      </c>
      <c r="F98" t="s">
        <v>5</v>
      </c>
      <c r="G98" t="s">
        <v>108</v>
      </c>
      <c r="H98" t="s">
        <v>7</v>
      </c>
      <c r="I98" t="s">
        <v>109</v>
      </c>
    </row>
    <row r="99" spans="1:9" x14ac:dyDescent="0.25">
      <c r="A99" t="s">
        <v>0</v>
      </c>
      <c r="B99" t="s">
        <v>9</v>
      </c>
      <c r="C99">
        <v>6</v>
      </c>
      <c r="D99" t="s">
        <v>10</v>
      </c>
      <c r="E99" t="s">
        <v>11</v>
      </c>
      <c r="F99" t="s">
        <v>12</v>
      </c>
      <c r="G99">
        <v>1</v>
      </c>
      <c r="H99" t="s">
        <v>13</v>
      </c>
      <c r="I99" t="s">
        <v>11</v>
      </c>
    </row>
    <row r="100" spans="1:9" x14ac:dyDescent="0.25">
      <c r="A100" t="s">
        <v>0</v>
      </c>
      <c r="B100" t="s">
        <v>14</v>
      </c>
      <c r="C100" t="s">
        <v>15</v>
      </c>
      <c r="D100">
        <v>32</v>
      </c>
      <c r="E100" t="s">
        <v>4</v>
      </c>
      <c r="F100" t="s">
        <v>16</v>
      </c>
      <c r="G100" t="s">
        <v>110</v>
      </c>
    </row>
    <row r="101" spans="1:9" x14ac:dyDescent="0.25">
      <c r="A101" t="s">
        <v>0</v>
      </c>
      <c r="B101" t="s">
        <v>1</v>
      </c>
      <c r="C101" t="s">
        <v>2</v>
      </c>
      <c r="D101" t="s">
        <v>3</v>
      </c>
      <c r="E101" t="s">
        <v>4</v>
      </c>
      <c r="F101" t="s">
        <v>5</v>
      </c>
      <c r="G101" t="s">
        <v>111</v>
      </c>
      <c r="H101" t="s">
        <v>7</v>
      </c>
      <c r="I101" t="s">
        <v>112</v>
      </c>
    </row>
    <row r="102" spans="1:9" x14ac:dyDescent="0.25">
      <c r="A102" t="s">
        <v>0</v>
      </c>
      <c r="B102" t="s">
        <v>9</v>
      </c>
      <c r="C102">
        <v>216</v>
      </c>
      <c r="D102" t="s">
        <v>10</v>
      </c>
      <c r="E102" t="s">
        <v>11</v>
      </c>
      <c r="F102" t="s">
        <v>12</v>
      </c>
      <c r="G102">
        <v>27</v>
      </c>
      <c r="H102" t="s">
        <v>13</v>
      </c>
      <c r="I102" t="s">
        <v>11</v>
      </c>
    </row>
    <row r="103" spans="1:9" x14ac:dyDescent="0.25">
      <c r="A103" t="s">
        <v>0</v>
      </c>
      <c r="B103" t="s">
        <v>14</v>
      </c>
      <c r="C103" t="s">
        <v>15</v>
      </c>
      <c r="D103">
        <v>33</v>
      </c>
      <c r="E103" t="s">
        <v>4</v>
      </c>
      <c r="F103" t="s">
        <v>16</v>
      </c>
      <c r="G103" t="s">
        <v>113</v>
      </c>
    </row>
    <row r="104" spans="1:9" x14ac:dyDescent="0.25">
      <c r="A104" t="s">
        <v>0</v>
      </c>
      <c r="B104" t="s">
        <v>1</v>
      </c>
      <c r="C104" t="s">
        <v>2</v>
      </c>
      <c r="D104" t="s">
        <v>3</v>
      </c>
      <c r="E104" t="s">
        <v>4</v>
      </c>
      <c r="F104" t="s">
        <v>5</v>
      </c>
      <c r="G104" t="s">
        <v>114</v>
      </c>
      <c r="H104" t="s">
        <v>7</v>
      </c>
      <c r="I104" t="s">
        <v>115</v>
      </c>
    </row>
    <row r="105" spans="1:9" x14ac:dyDescent="0.25">
      <c r="A105" t="s">
        <v>0</v>
      </c>
      <c r="B105" t="s">
        <v>9</v>
      </c>
      <c r="C105">
        <v>152</v>
      </c>
      <c r="D105" t="s">
        <v>10</v>
      </c>
      <c r="E105" t="s">
        <v>11</v>
      </c>
      <c r="F105" t="s">
        <v>12</v>
      </c>
      <c r="G105">
        <v>19</v>
      </c>
      <c r="H105" t="s">
        <v>13</v>
      </c>
      <c r="I105" t="s">
        <v>11</v>
      </c>
    </row>
    <row r="106" spans="1:9" x14ac:dyDescent="0.25">
      <c r="A106" t="s">
        <v>0</v>
      </c>
      <c r="B106" t="s">
        <v>14</v>
      </c>
      <c r="C106" t="s">
        <v>15</v>
      </c>
      <c r="D106">
        <v>34</v>
      </c>
      <c r="E106" t="s">
        <v>4</v>
      </c>
      <c r="F106" t="s">
        <v>16</v>
      </c>
      <c r="G106" t="s">
        <v>116</v>
      </c>
    </row>
    <row r="107" spans="1:9" x14ac:dyDescent="0.25">
      <c r="A107" t="s">
        <v>0</v>
      </c>
      <c r="B107" t="s">
        <v>1</v>
      </c>
      <c r="C107" t="s">
        <v>2</v>
      </c>
      <c r="D107" t="s">
        <v>3</v>
      </c>
      <c r="E107" t="s">
        <v>4</v>
      </c>
      <c r="F107" t="s">
        <v>5</v>
      </c>
      <c r="G107" t="s">
        <v>117</v>
      </c>
      <c r="H107" t="s">
        <v>7</v>
      </c>
      <c r="I107" t="s">
        <v>118</v>
      </c>
    </row>
    <row r="108" spans="1:9" x14ac:dyDescent="0.25">
      <c r="A108" t="s">
        <v>0</v>
      </c>
      <c r="B108" t="s">
        <v>9</v>
      </c>
      <c r="C108">
        <v>110</v>
      </c>
      <c r="D108" t="s">
        <v>10</v>
      </c>
      <c r="E108" t="s">
        <v>11</v>
      </c>
      <c r="F108" t="s">
        <v>12</v>
      </c>
      <c r="G108">
        <v>14</v>
      </c>
      <c r="H108" t="s">
        <v>13</v>
      </c>
      <c r="I108" t="s">
        <v>11</v>
      </c>
    </row>
    <row r="109" spans="1:9" x14ac:dyDescent="0.25">
      <c r="A109" t="s">
        <v>0</v>
      </c>
      <c r="B109" t="s">
        <v>14</v>
      </c>
      <c r="C109" t="s">
        <v>15</v>
      </c>
      <c r="D109">
        <v>35</v>
      </c>
      <c r="E109" t="s">
        <v>4</v>
      </c>
      <c r="F109" t="s">
        <v>16</v>
      </c>
      <c r="G109" t="s">
        <v>119</v>
      </c>
    </row>
    <row r="110" spans="1:9" x14ac:dyDescent="0.25">
      <c r="A110" t="s">
        <v>0</v>
      </c>
      <c r="B110" t="s">
        <v>1</v>
      </c>
      <c r="C110" t="s">
        <v>2</v>
      </c>
      <c r="D110" t="s">
        <v>3</v>
      </c>
      <c r="E110" t="s">
        <v>4</v>
      </c>
      <c r="F110" t="s">
        <v>5</v>
      </c>
      <c r="G110" t="s">
        <v>120</v>
      </c>
      <c r="H110" t="s">
        <v>7</v>
      </c>
      <c r="I110" t="s">
        <v>121</v>
      </c>
    </row>
    <row r="111" spans="1:9" x14ac:dyDescent="0.25">
      <c r="A111" t="s">
        <v>0</v>
      </c>
      <c r="B111" t="s">
        <v>9</v>
      </c>
      <c r="C111">
        <v>72</v>
      </c>
      <c r="D111" t="s">
        <v>10</v>
      </c>
      <c r="E111" t="s">
        <v>11</v>
      </c>
      <c r="F111" t="s">
        <v>12</v>
      </c>
      <c r="G111">
        <v>9</v>
      </c>
      <c r="H111" t="s">
        <v>13</v>
      </c>
      <c r="I111" t="s">
        <v>11</v>
      </c>
    </row>
    <row r="112" spans="1:9" x14ac:dyDescent="0.25">
      <c r="A112" t="s">
        <v>0</v>
      </c>
      <c r="B112" t="s">
        <v>14</v>
      </c>
      <c r="C112" t="s">
        <v>15</v>
      </c>
      <c r="D112">
        <v>36</v>
      </c>
      <c r="E112" t="s">
        <v>4</v>
      </c>
      <c r="F112" t="s">
        <v>16</v>
      </c>
      <c r="G112" t="s">
        <v>122</v>
      </c>
    </row>
    <row r="113" spans="1:9" x14ac:dyDescent="0.25">
      <c r="A113" t="s">
        <v>0</v>
      </c>
      <c r="B113" t="s">
        <v>1</v>
      </c>
      <c r="C113" t="s">
        <v>2</v>
      </c>
      <c r="D113" t="s">
        <v>3</v>
      </c>
      <c r="E113" t="s">
        <v>4</v>
      </c>
      <c r="F113" t="s">
        <v>5</v>
      </c>
      <c r="G113" t="s">
        <v>123</v>
      </c>
      <c r="H113" t="s">
        <v>7</v>
      </c>
      <c r="I113" t="s">
        <v>124</v>
      </c>
    </row>
    <row r="114" spans="1:9" x14ac:dyDescent="0.25">
      <c r="A114" t="s">
        <v>0</v>
      </c>
      <c r="B114" t="s">
        <v>9</v>
      </c>
      <c r="C114">
        <v>46</v>
      </c>
      <c r="D114" t="s">
        <v>10</v>
      </c>
      <c r="E114" t="s">
        <v>11</v>
      </c>
      <c r="F114" t="s">
        <v>12</v>
      </c>
      <c r="G114">
        <v>6</v>
      </c>
      <c r="H114" t="s">
        <v>13</v>
      </c>
      <c r="I114" t="s">
        <v>11</v>
      </c>
    </row>
    <row r="115" spans="1:9" x14ac:dyDescent="0.25">
      <c r="A115" t="s">
        <v>0</v>
      </c>
      <c r="B115" t="s">
        <v>14</v>
      </c>
      <c r="C115" t="s">
        <v>15</v>
      </c>
      <c r="D115">
        <v>37</v>
      </c>
      <c r="E115" t="s">
        <v>4</v>
      </c>
      <c r="F115" t="s">
        <v>16</v>
      </c>
      <c r="G115" t="s">
        <v>125</v>
      </c>
    </row>
    <row r="116" spans="1:9" x14ac:dyDescent="0.25">
      <c r="A116" t="s">
        <v>0</v>
      </c>
      <c r="B116" t="s">
        <v>1</v>
      </c>
      <c r="C116" t="s">
        <v>2</v>
      </c>
      <c r="D116" t="s">
        <v>3</v>
      </c>
      <c r="E116" t="s">
        <v>4</v>
      </c>
      <c r="F116" t="s">
        <v>5</v>
      </c>
      <c r="G116" t="s">
        <v>126</v>
      </c>
      <c r="H116" t="s">
        <v>7</v>
      </c>
      <c r="I116" t="s">
        <v>127</v>
      </c>
    </row>
    <row r="117" spans="1:9" x14ac:dyDescent="0.25">
      <c r="A117" t="s">
        <v>0</v>
      </c>
      <c r="B117" t="s">
        <v>9</v>
      </c>
      <c r="C117">
        <v>32</v>
      </c>
      <c r="D117" t="s">
        <v>10</v>
      </c>
      <c r="E117" t="s">
        <v>11</v>
      </c>
      <c r="F117" t="s">
        <v>12</v>
      </c>
      <c r="G117">
        <v>4</v>
      </c>
      <c r="H117" t="s">
        <v>13</v>
      </c>
      <c r="I117" t="s">
        <v>11</v>
      </c>
    </row>
    <row r="118" spans="1:9" x14ac:dyDescent="0.25">
      <c r="A118" t="s">
        <v>0</v>
      </c>
      <c r="B118" t="s">
        <v>14</v>
      </c>
      <c r="C118" t="s">
        <v>15</v>
      </c>
      <c r="D118">
        <v>38</v>
      </c>
      <c r="E118" t="s">
        <v>4</v>
      </c>
      <c r="F118" t="s">
        <v>16</v>
      </c>
      <c r="G118" t="s">
        <v>128</v>
      </c>
    </row>
    <row r="119" spans="1:9" x14ac:dyDescent="0.25">
      <c r="A119" t="s">
        <v>0</v>
      </c>
      <c r="B119" t="s">
        <v>1</v>
      </c>
      <c r="C119" t="s">
        <v>2</v>
      </c>
      <c r="D119" t="s">
        <v>3</v>
      </c>
      <c r="E119" t="s">
        <v>4</v>
      </c>
      <c r="F119" t="s">
        <v>5</v>
      </c>
      <c r="G119" t="s">
        <v>129</v>
      </c>
      <c r="H119" t="s">
        <v>7</v>
      </c>
      <c r="I119" t="s">
        <v>130</v>
      </c>
    </row>
    <row r="120" spans="1:9" x14ac:dyDescent="0.25">
      <c r="A120" t="s">
        <v>0</v>
      </c>
      <c r="B120" t="s">
        <v>9</v>
      </c>
      <c r="C120">
        <v>206</v>
      </c>
      <c r="D120" t="s">
        <v>10</v>
      </c>
      <c r="E120" t="s">
        <v>11</v>
      </c>
      <c r="F120" t="s">
        <v>12</v>
      </c>
      <c r="G120">
        <v>26</v>
      </c>
      <c r="H120" t="s">
        <v>13</v>
      </c>
      <c r="I120" t="s">
        <v>11</v>
      </c>
    </row>
    <row r="121" spans="1:9" x14ac:dyDescent="0.25">
      <c r="A121" t="s">
        <v>0</v>
      </c>
      <c r="B121" t="s">
        <v>14</v>
      </c>
      <c r="C121" t="s">
        <v>15</v>
      </c>
      <c r="D121">
        <v>39</v>
      </c>
      <c r="E121" t="s">
        <v>4</v>
      </c>
      <c r="F121" t="s">
        <v>16</v>
      </c>
      <c r="G121" t="s">
        <v>131</v>
      </c>
    </row>
    <row r="122" spans="1:9" x14ac:dyDescent="0.25">
      <c r="A122" t="s">
        <v>0</v>
      </c>
      <c r="B122" t="s">
        <v>1</v>
      </c>
      <c r="C122" t="s">
        <v>2</v>
      </c>
      <c r="D122" t="s">
        <v>3</v>
      </c>
      <c r="E122" t="s">
        <v>4</v>
      </c>
      <c r="F122" t="s">
        <v>5</v>
      </c>
      <c r="G122" t="s">
        <v>132</v>
      </c>
      <c r="H122" t="s">
        <v>7</v>
      </c>
      <c r="I122" t="s">
        <v>133</v>
      </c>
    </row>
    <row r="123" spans="1:9" x14ac:dyDescent="0.25">
      <c r="A123" t="s">
        <v>0</v>
      </c>
      <c r="B123" t="s">
        <v>9</v>
      </c>
      <c r="C123">
        <v>72</v>
      </c>
      <c r="D123" t="s">
        <v>10</v>
      </c>
      <c r="E123" t="s">
        <v>11</v>
      </c>
      <c r="F123" t="s">
        <v>12</v>
      </c>
      <c r="G123">
        <v>9</v>
      </c>
      <c r="H123" t="s">
        <v>13</v>
      </c>
      <c r="I123" t="s">
        <v>11</v>
      </c>
    </row>
    <row r="124" spans="1:9" x14ac:dyDescent="0.25">
      <c r="A124" t="s">
        <v>0</v>
      </c>
      <c r="B124" t="s">
        <v>14</v>
      </c>
      <c r="C124" t="s">
        <v>15</v>
      </c>
      <c r="D124">
        <v>40</v>
      </c>
      <c r="E124" t="s">
        <v>4</v>
      </c>
      <c r="F124" t="s">
        <v>16</v>
      </c>
      <c r="G124" t="s">
        <v>134</v>
      </c>
    </row>
    <row r="125" spans="1:9" x14ac:dyDescent="0.25">
      <c r="A125" t="s">
        <v>0</v>
      </c>
      <c r="B125" t="s">
        <v>1</v>
      </c>
      <c r="C125" t="s">
        <v>2</v>
      </c>
      <c r="D125" t="s">
        <v>3</v>
      </c>
      <c r="E125" t="s">
        <v>4</v>
      </c>
      <c r="F125" t="s">
        <v>5</v>
      </c>
      <c r="G125" t="s">
        <v>135</v>
      </c>
      <c r="H125" t="s">
        <v>7</v>
      </c>
      <c r="I125" t="s">
        <v>136</v>
      </c>
    </row>
    <row r="126" spans="1:9" x14ac:dyDescent="0.25">
      <c r="A126" t="s">
        <v>0</v>
      </c>
      <c r="B126" t="s">
        <v>9</v>
      </c>
      <c r="C126">
        <v>2</v>
      </c>
      <c r="D126" t="s">
        <v>10</v>
      </c>
      <c r="E126" t="s">
        <v>11</v>
      </c>
      <c r="F126" t="s">
        <v>12</v>
      </c>
      <c r="G126">
        <v>0</v>
      </c>
      <c r="H126" t="s">
        <v>13</v>
      </c>
      <c r="I126" t="s">
        <v>11</v>
      </c>
    </row>
    <row r="127" spans="1:9" x14ac:dyDescent="0.25">
      <c r="A127" t="s">
        <v>0</v>
      </c>
      <c r="B127" t="s">
        <v>14</v>
      </c>
      <c r="C127" t="s">
        <v>15</v>
      </c>
      <c r="D127">
        <v>41</v>
      </c>
      <c r="E127" t="s">
        <v>4</v>
      </c>
      <c r="F127" t="s">
        <v>16</v>
      </c>
      <c r="G127" t="s">
        <v>137</v>
      </c>
    </row>
    <row r="128" spans="1:9" x14ac:dyDescent="0.25">
      <c r="A128" t="s">
        <v>0</v>
      </c>
      <c r="B128" t="s">
        <v>1</v>
      </c>
      <c r="C128" t="s">
        <v>2</v>
      </c>
      <c r="D128" t="s">
        <v>3</v>
      </c>
      <c r="E128" t="s">
        <v>4</v>
      </c>
      <c r="F128" t="s">
        <v>5</v>
      </c>
      <c r="G128" t="s">
        <v>138</v>
      </c>
      <c r="H128" t="s">
        <v>7</v>
      </c>
      <c r="I128" t="s">
        <v>139</v>
      </c>
    </row>
    <row r="129" spans="1:9" x14ac:dyDescent="0.25">
      <c r="A129" t="s">
        <v>0</v>
      </c>
      <c r="B129" t="s">
        <v>9</v>
      </c>
      <c r="C129">
        <v>29</v>
      </c>
      <c r="D129" t="s">
        <v>10</v>
      </c>
      <c r="E129" t="s">
        <v>11</v>
      </c>
      <c r="F129" t="s">
        <v>12</v>
      </c>
      <c r="G129">
        <v>3</v>
      </c>
      <c r="H129" t="s">
        <v>13</v>
      </c>
      <c r="I129" t="s">
        <v>11</v>
      </c>
    </row>
    <row r="130" spans="1:9" x14ac:dyDescent="0.25">
      <c r="A130" t="s">
        <v>0</v>
      </c>
      <c r="B130" t="s">
        <v>14</v>
      </c>
      <c r="C130" t="s">
        <v>15</v>
      </c>
      <c r="D130">
        <v>42</v>
      </c>
      <c r="E130" t="s">
        <v>4</v>
      </c>
      <c r="F130" t="s">
        <v>16</v>
      </c>
      <c r="G130" t="s">
        <v>140</v>
      </c>
    </row>
    <row r="131" spans="1:9" x14ac:dyDescent="0.25">
      <c r="A131" t="s">
        <v>0</v>
      </c>
      <c r="B131" t="s">
        <v>1</v>
      </c>
      <c r="C131" t="s">
        <v>2</v>
      </c>
      <c r="D131" t="s">
        <v>3</v>
      </c>
      <c r="E131" t="s">
        <v>4</v>
      </c>
      <c r="F131" t="s">
        <v>5</v>
      </c>
      <c r="G131" t="s">
        <v>141</v>
      </c>
      <c r="H131" t="s">
        <v>7</v>
      </c>
      <c r="I131" t="s">
        <v>142</v>
      </c>
    </row>
    <row r="132" spans="1:9" x14ac:dyDescent="0.25">
      <c r="A132" t="s">
        <v>0</v>
      </c>
      <c r="B132" t="s">
        <v>9</v>
      </c>
      <c r="C132">
        <v>22</v>
      </c>
      <c r="D132" t="s">
        <v>10</v>
      </c>
      <c r="E132" t="s">
        <v>11</v>
      </c>
      <c r="F132" t="s">
        <v>12</v>
      </c>
      <c r="G132">
        <v>3</v>
      </c>
      <c r="H132" t="s">
        <v>13</v>
      </c>
      <c r="I132" t="s">
        <v>11</v>
      </c>
    </row>
    <row r="133" spans="1:9" x14ac:dyDescent="0.25">
      <c r="A133" t="s">
        <v>0</v>
      </c>
      <c r="B133" t="s">
        <v>14</v>
      </c>
      <c r="C133" t="s">
        <v>15</v>
      </c>
      <c r="D133">
        <v>43</v>
      </c>
      <c r="E133" t="s">
        <v>4</v>
      </c>
      <c r="F133" t="s">
        <v>16</v>
      </c>
      <c r="G133" t="s">
        <v>143</v>
      </c>
    </row>
    <row r="134" spans="1:9" x14ac:dyDescent="0.25">
      <c r="A134" t="s">
        <v>0</v>
      </c>
      <c r="B134" t="s">
        <v>1</v>
      </c>
      <c r="C134" t="s">
        <v>2</v>
      </c>
      <c r="D134" t="s">
        <v>3</v>
      </c>
      <c r="E134" t="s">
        <v>4</v>
      </c>
      <c r="F134" t="s">
        <v>5</v>
      </c>
      <c r="G134" t="s">
        <v>144</v>
      </c>
      <c r="H134" t="s">
        <v>7</v>
      </c>
      <c r="I134" t="s">
        <v>145</v>
      </c>
    </row>
    <row r="135" spans="1:9" x14ac:dyDescent="0.25">
      <c r="A135" t="s">
        <v>0</v>
      </c>
      <c r="B135" t="s">
        <v>9</v>
      </c>
      <c r="C135">
        <v>0</v>
      </c>
      <c r="D135" t="s">
        <v>10</v>
      </c>
      <c r="E135" t="s">
        <v>11</v>
      </c>
      <c r="F135" t="s">
        <v>12</v>
      </c>
      <c r="G135">
        <v>0</v>
      </c>
      <c r="H135" t="s">
        <v>13</v>
      </c>
      <c r="I135" t="s">
        <v>11</v>
      </c>
    </row>
    <row r="136" spans="1:9" x14ac:dyDescent="0.25">
      <c r="A136" t="s">
        <v>0</v>
      </c>
      <c r="B136" t="s">
        <v>14</v>
      </c>
      <c r="C136" t="s">
        <v>15</v>
      </c>
      <c r="D136">
        <v>44</v>
      </c>
      <c r="E136" t="s">
        <v>4</v>
      </c>
      <c r="F136" t="s">
        <v>16</v>
      </c>
      <c r="G136" t="s">
        <v>146</v>
      </c>
    </row>
    <row r="137" spans="1:9" x14ac:dyDescent="0.25">
      <c r="A137" t="s">
        <v>0</v>
      </c>
      <c r="B137" t="s">
        <v>1</v>
      </c>
      <c r="C137" t="s">
        <v>2</v>
      </c>
      <c r="D137" t="s">
        <v>3</v>
      </c>
      <c r="E137" t="s">
        <v>4</v>
      </c>
      <c r="F137" t="s">
        <v>5</v>
      </c>
      <c r="G137" t="s">
        <v>147</v>
      </c>
      <c r="H137" t="s">
        <v>7</v>
      </c>
      <c r="I137" t="s">
        <v>148</v>
      </c>
    </row>
    <row r="138" spans="1:9" x14ac:dyDescent="0.25">
      <c r="A138" t="s">
        <v>0</v>
      </c>
      <c r="B138" t="s">
        <v>9</v>
      </c>
      <c r="C138">
        <v>30</v>
      </c>
      <c r="D138" t="s">
        <v>10</v>
      </c>
      <c r="E138" t="s">
        <v>11</v>
      </c>
      <c r="F138" t="s">
        <v>12</v>
      </c>
      <c r="G138">
        <v>4</v>
      </c>
      <c r="H138" t="s">
        <v>13</v>
      </c>
      <c r="I138" t="s">
        <v>11</v>
      </c>
    </row>
    <row r="139" spans="1:9" x14ac:dyDescent="0.25">
      <c r="A139" t="s">
        <v>0</v>
      </c>
      <c r="B139" t="s">
        <v>14</v>
      </c>
      <c r="C139" t="s">
        <v>15</v>
      </c>
      <c r="D139">
        <v>45</v>
      </c>
      <c r="E139" t="s">
        <v>4</v>
      </c>
      <c r="F139" t="s">
        <v>16</v>
      </c>
      <c r="G139" t="s">
        <v>149</v>
      </c>
    </row>
    <row r="140" spans="1:9" x14ac:dyDescent="0.25">
      <c r="A140" t="s">
        <v>0</v>
      </c>
      <c r="B140" t="s">
        <v>1</v>
      </c>
      <c r="C140" t="s">
        <v>2</v>
      </c>
      <c r="D140" t="s">
        <v>3</v>
      </c>
      <c r="E140" t="s">
        <v>4</v>
      </c>
      <c r="F140" t="s">
        <v>5</v>
      </c>
      <c r="G140" t="s">
        <v>150</v>
      </c>
      <c r="H140" t="s">
        <v>7</v>
      </c>
      <c r="I140" t="s">
        <v>52</v>
      </c>
    </row>
    <row r="141" spans="1:9" x14ac:dyDescent="0.25">
      <c r="A141" t="s">
        <v>0</v>
      </c>
      <c r="B141" t="s">
        <v>9</v>
      </c>
      <c r="C141">
        <v>2</v>
      </c>
      <c r="D141" t="s">
        <v>10</v>
      </c>
      <c r="E141" t="s">
        <v>11</v>
      </c>
      <c r="F141" t="s">
        <v>12</v>
      </c>
      <c r="G141">
        <v>0</v>
      </c>
      <c r="H141" t="s">
        <v>13</v>
      </c>
      <c r="I141" t="s">
        <v>11</v>
      </c>
    </row>
    <row r="142" spans="1:9" x14ac:dyDescent="0.25">
      <c r="A142" t="s">
        <v>0</v>
      </c>
      <c r="B142" t="s">
        <v>14</v>
      </c>
      <c r="C142" t="s">
        <v>15</v>
      </c>
      <c r="D142">
        <v>46</v>
      </c>
      <c r="E142" t="s">
        <v>4</v>
      </c>
      <c r="F142" t="s">
        <v>16</v>
      </c>
      <c r="G142" t="s">
        <v>151</v>
      </c>
    </row>
    <row r="143" spans="1:9" x14ac:dyDescent="0.25">
      <c r="A143" t="s">
        <v>0</v>
      </c>
      <c r="B143" t="s">
        <v>1</v>
      </c>
      <c r="C143" t="s">
        <v>2</v>
      </c>
      <c r="D143" t="s">
        <v>3</v>
      </c>
      <c r="E143" t="s">
        <v>4</v>
      </c>
      <c r="F143" t="s">
        <v>5</v>
      </c>
      <c r="G143" t="s">
        <v>152</v>
      </c>
      <c r="H143" t="s">
        <v>7</v>
      </c>
      <c r="I143" t="s">
        <v>153</v>
      </c>
    </row>
    <row r="144" spans="1:9" x14ac:dyDescent="0.25">
      <c r="A144" t="s">
        <v>0</v>
      </c>
      <c r="B144" t="s">
        <v>9</v>
      </c>
      <c r="C144">
        <v>28</v>
      </c>
      <c r="D144" t="s">
        <v>10</v>
      </c>
      <c r="E144" t="s">
        <v>11</v>
      </c>
      <c r="F144" t="s">
        <v>12</v>
      </c>
      <c r="G144">
        <v>4</v>
      </c>
      <c r="H144" t="s">
        <v>13</v>
      </c>
      <c r="I144" t="s">
        <v>11</v>
      </c>
    </row>
    <row r="145" spans="1:9" x14ac:dyDescent="0.25">
      <c r="A145" t="s">
        <v>0</v>
      </c>
      <c r="B145" t="s">
        <v>14</v>
      </c>
      <c r="C145" t="s">
        <v>15</v>
      </c>
      <c r="D145">
        <v>47</v>
      </c>
      <c r="E145" t="s">
        <v>4</v>
      </c>
      <c r="F145" t="s">
        <v>16</v>
      </c>
      <c r="G145" t="s">
        <v>154</v>
      </c>
    </row>
    <row r="146" spans="1:9" x14ac:dyDescent="0.25">
      <c r="A146" t="s">
        <v>0</v>
      </c>
      <c r="B146" t="s">
        <v>1</v>
      </c>
      <c r="C146" t="s">
        <v>2</v>
      </c>
      <c r="D146" t="s">
        <v>3</v>
      </c>
      <c r="E146" t="s">
        <v>4</v>
      </c>
      <c r="F146" t="s">
        <v>5</v>
      </c>
      <c r="G146" t="s">
        <v>155</v>
      </c>
      <c r="H146" t="s">
        <v>7</v>
      </c>
      <c r="I146" t="s">
        <v>156</v>
      </c>
    </row>
    <row r="147" spans="1:9" x14ac:dyDescent="0.25">
      <c r="A147" t="s">
        <v>0</v>
      </c>
      <c r="B147" t="s">
        <v>9</v>
      </c>
      <c r="C147">
        <v>8</v>
      </c>
      <c r="D147" t="s">
        <v>10</v>
      </c>
      <c r="E147" t="s">
        <v>11</v>
      </c>
      <c r="F147" t="s">
        <v>12</v>
      </c>
      <c r="G147">
        <v>1</v>
      </c>
      <c r="H147" t="s">
        <v>13</v>
      </c>
      <c r="I147" t="s">
        <v>11</v>
      </c>
    </row>
    <row r="148" spans="1:9" x14ac:dyDescent="0.25">
      <c r="A148" t="s">
        <v>0</v>
      </c>
      <c r="B148" t="s">
        <v>14</v>
      </c>
      <c r="C148" t="s">
        <v>15</v>
      </c>
      <c r="D148">
        <v>48</v>
      </c>
      <c r="E148" t="s">
        <v>4</v>
      </c>
      <c r="F148" t="s">
        <v>16</v>
      </c>
      <c r="G148" t="s">
        <v>157</v>
      </c>
    </row>
    <row r="149" spans="1:9" x14ac:dyDescent="0.25">
      <c r="A149" t="s">
        <v>0</v>
      </c>
      <c r="B149" t="s">
        <v>1</v>
      </c>
      <c r="C149" t="s">
        <v>2</v>
      </c>
      <c r="D149" t="s">
        <v>3</v>
      </c>
      <c r="E149" t="s">
        <v>4</v>
      </c>
      <c r="F149" t="s">
        <v>5</v>
      </c>
      <c r="G149" t="s">
        <v>158</v>
      </c>
      <c r="H149" t="s">
        <v>7</v>
      </c>
      <c r="I149" t="s">
        <v>159</v>
      </c>
    </row>
    <row r="150" spans="1:9" x14ac:dyDescent="0.25">
      <c r="A150" t="s">
        <v>0</v>
      </c>
      <c r="B150" t="s">
        <v>9</v>
      </c>
      <c r="C150">
        <v>118</v>
      </c>
      <c r="D150" t="s">
        <v>10</v>
      </c>
      <c r="E150" t="s">
        <v>11</v>
      </c>
      <c r="F150" t="s">
        <v>12</v>
      </c>
      <c r="G150">
        <v>15</v>
      </c>
      <c r="H150" t="s">
        <v>13</v>
      </c>
      <c r="I150" t="s">
        <v>11</v>
      </c>
    </row>
    <row r="151" spans="1:9" x14ac:dyDescent="0.25">
      <c r="A151" t="s">
        <v>0</v>
      </c>
      <c r="B151" t="s">
        <v>14</v>
      </c>
      <c r="C151" t="s">
        <v>15</v>
      </c>
      <c r="D151">
        <v>49</v>
      </c>
      <c r="E151" t="s">
        <v>4</v>
      </c>
      <c r="F151" t="s">
        <v>16</v>
      </c>
      <c r="G151" t="s">
        <v>160</v>
      </c>
    </row>
    <row r="152" spans="1:9" x14ac:dyDescent="0.25">
      <c r="A152" t="s">
        <v>0</v>
      </c>
      <c r="B152" t="s">
        <v>1</v>
      </c>
      <c r="C152" t="s">
        <v>2</v>
      </c>
      <c r="D152" t="s">
        <v>3</v>
      </c>
      <c r="E152" t="s">
        <v>4</v>
      </c>
      <c r="F152" t="s">
        <v>5</v>
      </c>
      <c r="G152" t="s">
        <v>161</v>
      </c>
      <c r="H152" t="s">
        <v>7</v>
      </c>
      <c r="I152" t="s">
        <v>162</v>
      </c>
    </row>
    <row r="153" spans="1:9" x14ac:dyDescent="0.25">
      <c r="A153" t="s">
        <v>0</v>
      </c>
      <c r="B153" t="s">
        <v>9</v>
      </c>
      <c r="C153">
        <v>24</v>
      </c>
      <c r="D153" t="s">
        <v>10</v>
      </c>
      <c r="E153" t="s">
        <v>11</v>
      </c>
      <c r="F153" t="s">
        <v>12</v>
      </c>
      <c r="G153">
        <v>3</v>
      </c>
      <c r="H153" t="s">
        <v>13</v>
      </c>
      <c r="I153" t="s">
        <v>11</v>
      </c>
    </row>
    <row r="154" spans="1:9" x14ac:dyDescent="0.25">
      <c r="A154" t="s">
        <v>0</v>
      </c>
      <c r="B154" t="s">
        <v>14</v>
      </c>
      <c r="C154" t="s">
        <v>15</v>
      </c>
      <c r="D154">
        <v>50</v>
      </c>
      <c r="E154" t="s">
        <v>4</v>
      </c>
      <c r="F154" t="s">
        <v>16</v>
      </c>
      <c r="G154" t="s">
        <v>163</v>
      </c>
    </row>
    <row r="155" spans="1:9" x14ac:dyDescent="0.25">
      <c r="A155" t="s">
        <v>0</v>
      </c>
      <c r="B155" t="s">
        <v>1</v>
      </c>
      <c r="C155" t="s">
        <v>2</v>
      </c>
      <c r="D155" t="s">
        <v>3</v>
      </c>
      <c r="E155" t="s">
        <v>4</v>
      </c>
      <c r="F155" t="s">
        <v>5</v>
      </c>
      <c r="G155" t="s">
        <v>164</v>
      </c>
      <c r="H155" t="s">
        <v>7</v>
      </c>
      <c r="I155" t="s">
        <v>165</v>
      </c>
    </row>
    <row r="156" spans="1:9" x14ac:dyDescent="0.25">
      <c r="A156" t="s">
        <v>0</v>
      </c>
      <c r="B156" t="s">
        <v>9</v>
      </c>
      <c r="C156">
        <v>102</v>
      </c>
      <c r="D156" t="s">
        <v>10</v>
      </c>
      <c r="E156" t="s">
        <v>11</v>
      </c>
      <c r="F156" t="s">
        <v>12</v>
      </c>
      <c r="G156">
        <v>13</v>
      </c>
      <c r="H156" t="s">
        <v>13</v>
      </c>
      <c r="I156" t="s">
        <v>11</v>
      </c>
    </row>
    <row r="157" spans="1:9" x14ac:dyDescent="0.25">
      <c r="A157" t="s">
        <v>0</v>
      </c>
      <c r="B157" t="s">
        <v>14</v>
      </c>
      <c r="C157" t="s">
        <v>15</v>
      </c>
      <c r="D157">
        <v>51</v>
      </c>
      <c r="E157" t="s">
        <v>4</v>
      </c>
      <c r="F157" t="s">
        <v>16</v>
      </c>
      <c r="G157" t="s">
        <v>166</v>
      </c>
    </row>
    <row r="158" spans="1:9" x14ac:dyDescent="0.25">
      <c r="A158" t="s">
        <v>0</v>
      </c>
      <c r="B158" t="s">
        <v>1</v>
      </c>
      <c r="C158" t="s">
        <v>2</v>
      </c>
      <c r="D158" t="s">
        <v>3</v>
      </c>
      <c r="E158" t="s">
        <v>4</v>
      </c>
      <c r="F158" t="s">
        <v>5</v>
      </c>
      <c r="G158" t="s">
        <v>167</v>
      </c>
      <c r="H158" t="s">
        <v>7</v>
      </c>
      <c r="I158" t="s">
        <v>168</v>
      </c>
    </row>
    <row r="159" spans="1:9" x14ac:dyDescent="0.25">
      <c r="A159" t="s">
        <v>0</v>
      </c>
      <c r="B159" t="s">
        <v>9</v>
      </c>
      <c r="C159">
        <v>64</v>
      </c>
      <c r="D159" t="s">
        <v>10</v>
      </c>
      <c r="E159" t="s">
        <v>11</v>
      </c>
      <c r="F159" t="s">
        <v>12</v>
      </c>
      <c r="G159">
        <v>8</v>
      </c>
      <c r="H159" t="s">
        <v>13</v>
      </c>
      <c r="I159" t="s">
        <v>11</v>
      </c>
    </row>
    <row r="160" spans="1:9" x14ac:dyDescent="0.25">
      <c r="A160" t="s">
        <v>0</v>
      </c>
      <c r="B160" t="s">
        <v>14</v>
      </c>
      <c r="C160" t="s">
        <v>15</v>
      </c>
      <c r="D160">
        <v>52</v>
      </c>
      <c r="E160" t="s">
        <v>4</v>
      </c>
      <c r="F160" t="s">
        <v>16</v>
      </c>
      <c r="G160" t="s">
        <v>169</v>
      </c>
    </row>
    <row r="161" spans="1:9" x14ac:dyDescent="0.25">
      <c r="A161" t="s">
        <v>0</v>
      </c>
      <c r="B161" t="s">
        <v>1</v>
      </c>
      <c r="C161" t="s">
        <v>2</v>
      </c>
      <c r="D161" t="s">
        <v>3</v>
      </c>
      <c r="E161" t="s">
        <v>4</v>
      </c>
      <c r="F161" t="s">
        <v>5</v>
      </c>
      <c r="G161" t="s">
        <v>170</v>
      </c>
      <c r="H161" t="s">
        <v>7</v>
      </c>
      <c r="I161" t="s">
        <v>171</v>
      </c>
    </row>
    <row r="162" spans="1:9" x14ac:dyDescent="0.25">
      <c r="A162" t="s">
        <v>0</v>
      </c>
      <c r="B162" t="s">
        <v>9</v>
      </c>
      <c r="C162">
        <v>230</v>
      </c>
      <c r="D162" t="s">
        <v>10</v>
      </c>
      <c r="E162" t="s">
        <v>11</v>
      </c>
      <c r="F162" t="s">
        <v>12</v>
      </c>
      <c r="G162">
        <v>29</v>
      </c>
      <c r="H162" t="s">
        <v>13</v>
      </c>
      <c r="I162" t="s">
        <v>11</v>
      </c>
    </row>
    <row r="163" spans="1:9" x14ac:dyDescent="0.25">
      <c r="A163" t="s">
        <v>0</v>
      </c>
      <c r="B163" t="s">
        <v>14</v>
      </c>
      <c r="C163" t="s">
        <v>15</v>
      </c>
      <c r="D163">
        <v>53</v>
      </c>
      <c r="E163" t="s">
        <v>4</v>
      </c>
      <c r="F163" t="s">
        <v>16</v>
      </c>
      <c r="G163" t="s">
        <v>172</v>
      </c>
    </row>
    <row r="164" spans="1:9" x14ac:dyDescent="0.25">
      <c r="A164" t="s">
        <v>0</v>
      </c>
      <c r="B164" t="s">
        <v>1</v>
      </c>
      <c r="C164" t="s">
        <v>2</v>
      </c>
      <c r="D164" t="s">
        <v>3</v>
      </c>
      <c r="E164" t="s">
        <v>4</v>
      </c>
      <c r="F164" t="s">
        <v>5</v>
      </c>
      <c r="G164" t="s">
        <v>173</v>
      </c>
      <c r="H164" t="s">
        <v>7</v>
      </c>
      <c r="I164" t="s">
        <v>174</v>
      </c>
    </row>
    <row r="165" spans="1:9" x14ac:dyDescent="0.25">
      <c r="A165" t="s">
        <v>0</v>
      </c>
      <c r="B165" t="s">
        <v>9</v>
      </c>
      <c r="C165">
        <v>216</v>
      </c>
      <c r="D165" t="s">
        <v>10</v>
      </c>
      <c r="E165" t="s">
        <v>11</v>
      </c>
      <c r="F165" t="s">
        <v>12</v>
      </c>
      <c r="G165">
        <v>27</v>
      </c>
      <c r="H165" t="s">
        <v>13</v>
      </c>
      <c r="I165" t="s">
        <v>11</v>
      </c>
    </row>
    <row r="166" spans="1:9" x14ac:dyDescent="0.25">
      <c r="A166" t="s">
        <v>0</v>
      </c>
      <c r="B166" t="s">
        <v>14</v>
      </c>
      <c r="C166" t="s">
        <v>15</v>
      </c>
      <c r="D166">
        <v>54</v>
      </c>
      <c r="E166" t="s">
        <v>4</v>
      </c>
      <c r="F166" t="s">
        <v>16</v>
      </c>
      <c r="G166" t="s">
        <v>175</v>
      </c>
    </row>
    <row r="167" spans="1:9" x14ac:dyDescent="0.25">
      <c r="A167" t="s">
        <v>0</v>
      </c>
      <c r="B167" t="s">
        <v>1</v>
      </c>
      <c r="C167" t="s">
        <v>2</v>
      </c>
      <c r="D167" t="s">
        <v>3</v>
      </c>
      <c r="E167" t="s">
        <v>4</v>
      </c>
      <c r="F167" t="s">
        <v>5</v>
      </c>
      <c r="G167" t="s">
        <v>176</v>
      </c>
      <c r="H167" t="s">
        <v>7</v>
      </c>
      <c r="I167" t="s">
        <v>177</v>
      </c>
    </row>
    <row r="168" spans="1:9" x14ac:dyDescent="0.25">
      <c r="A168" t="s">
        <v>0</v>
      </c>
      <c r="B168" t="s">
        <v>9</v>
      </c>
      <c r="C168">
        <v>206</v>
      </c>
      <c r="D168" t="s">
        <v>10</v>
      </c>
      <c r="E168" t="s">
        <v>11</v>
      </c>
      <c r="F168" t="s">
        <v>12</v>
      </c>
      <c r="G168">
        <v>26</v>
      </c>
      <c r="H168" t="s">
        <v>13</v>
      </c>
      <c r="I168" t="s">
        <v>11</v>
      </c>
    </row>
    <row r="169" spans="1:9" x14ac:dyDescent="0.25">
      <c r="A169" t="s">
        <v>0</v>
      </c>
      <c r="B169" t="s">
        <v>14</v>
      </c>
      <c r="C169" t="s">
        <v>15</v>
      </c>
      <c r="D169">
        <v>55</v>
      </c>
      <c r="E169" t="s">
        <v>4</v>
      </c>
      <c r="F169" t="s">
        <v>16</v>
      </c>
      <c r="G169" t="s">
        <v>178</v>
      </c>
    </row>
    <row r="170" spans="1:9" x14ac:dyDescent="0.25">
      <c r="A170" t="s">
        <v>0</v>
      </c>
      <c r="B170" t="s">
        <v>1</v>
      </c>
      <c r="C170" t="s">
        <v>2</v>
      </c>
      <c r="D170" t="s">
        <v>3</v>
      </c>
      <c r="E170" t="s">
        <v>4</v>
      </c>
      <c r="F170" t="s">
        <v>5</v>
      </c>
      <c r="G170" t="s">
        <v>179</v>
      </c>
      <c r="H170" t="s">
        <v>7</v>
      </c>
      <c r="I170" t="s">
        <v>180</v>
      </c>
    </row>
    <row r="171" spans="1:9" x14ac:dyDescent="0.25">
      <c r="A171" t="s">
        <v>0</v>
      </c>
      <c r="B171" t="s">
        <v>9</v>
      </c>
      <c r="C171">
        <v>128</v>
      </c>
      <c r="D171" t="s">
        <v>10</v>
      </c>
      <c r="E171" t="s">
        <v>11</v>
      </c>
      <c r="F171" t="s">
        <v>12</v>
      </c>
      <c r="G171">
        <v>16</v>
      </c>
      <c r="H171" t="s">
        <v>13</v>
      </c>
      <c r="I171" t="s">
        <v>11</v>
      </c>
    </row>
    <row r="172" spans="1:9" x14ac:dyDescent="0.25">
      <c r="A172" t="s">
        <v>0</v>
      </c>
      <c r="B172" t="s">
        <v>14</v>
      </c>
      <c r="C172" t="s">
        <v>15</v>
      </c>
      <c r="D172">
        <v>56</v>
      </c>
      <c r="E172" t="s">
        <v>4</v>
      </c>
      <c r="F172" t="s">
        <v>16</v>
      </c>
      <c r="G172" t="s">
        <v>181</v>
      </c>
    </row>
    <row r="173" spans="1:9" x14ac:dyDescent="0.25">
      <c r="A173" t="s">
        <v>0</v>
      </c>
      <c r="B173" t="s">
        <v>1</v>
      </c>
      <c r="C173" t="s">
        <v>2</v>
      </c>
      <c r="D173" t="s">
        <v>3</v>
      </c>
      <c r="E173" t="s">
        <v>4</v>
      </c>
      <c r="F173" t="s">
        <v>5</v>
      </c>
      <c r="G173" t="s">
        <v>182</v>
      </c>
      <c r="H173" t="s">
        <v>7</v>
      </c>
      <c r="I173" t="s">
        <v>183</v>
      </c>
    </row>
    <row r="174" spans="1:9" x14ac:dyDescent="0.25">
      <c r="A174" t="s">
        <v>0</v>
      </c>
      <c r="B174" t="s">
        <v>9</v>
      </c>
      <c r="C174">
        <v>224</v>
      </c>
      <c r="D174" t="s">
        <v>10</v>
      </c>
      <c r="E174" t="s">
        <v>11</v>
      </c>
      <c r="F174" t="s">
        <v>12</v>
      </c>
      <c r="G174">
        <v>28</v>
      </c>
      <c r="H174" t="s">
        <v>13</v>
      </c>
      <c r="I174" t="s">
        <v>11</v>
      </c>
    </row>
    <row r="175" spans="1:9" x14ac:dyDescent="0.25">
      <c r="A175" t="s">
        <v>0</v>
      </c>
      <c r="B175" t="s">
        <v>14</v>
      </c>
      <c r="C175" t="s">
        <v>15</v>
      </c>
      <c r="D175">
        <v>57</v>
      </c>
      <c r="E175" t="s">
        <v>4</v>
      </c>
      <c r="F175" t="s">
        <v>16</v>
      </c>
      <c r="G175" t="s">
        <v>184</v>
      </c>
    </row>
    <row r="176" spans="1:9" x14ac:dyDescent="0.25">
      <c r="A176" t="s">
        <v>0</v>
      </c>
      <c r="B176" t="s">
        <v>1</v>
      </c>
      <c r="C176" t="s">
        <v>2</v>
      </c>
      <c r="D176" t="s">
        <v>3</v>
      </c>
      <c r="E176" t="s">
        <v>4</v>
      </c>
      <c r="F176" t="s">
        <v>5</v>
      </c>
      <c r="G176" t="s">
        <v>185</v>
      </c>
      <c r="H176" t="s">
        <v>7</v>
      </c>
      <c r="I176" t="s">
        <v>186</v>
      </c>
    </row>
    <row r="177" spans="1:9" x14ac:dyDescent="0.25">
      <c r="A177" t="s">
        <v>0</v>
      </c>
      <c r="B177" t="s">
        <v>9</v>
      </c>
      <c r="C177">
        <v>166</v>
      </c>
      <c r="D177" t="s">
        <v>10</v>
      </c>
      <c r="E177" t="s">
        <v>11</v>
      </c>
      <c r="F177" t="s">
        <v>12</v>
      </c>
      <c r="G177">
        <v>21</v>
      </c>
      <c r="H177" t="s">
        <v>13</v>
      </c>
      <c r="I177" t="s">
        <v>11</v>
      </c>
    </row>
    <row r="178" spans="1:9" x14ac:dyDescent="0.25">
      <c r="A178" t="s">
        <v>0</v>
      </c>
      <c r="B178" t="s">
        <v>14</v>
      </c>
      <c r="C178" t="s">
        <v>15</v>
      </c>
      <c r="D178">
        <v>58</v>
      </c>
      <c r="E178" t="s">
        <v>4</v>
      </c>
      <c r="F178" t="s">
        <v>16</v>
      </c>
      <c r="G178" t="s">
        <v>187</v>
      </c>
    </row>
    <row r="179" spans="1:9" x14ac:dyDescent="0.25">
      <c r="A179" t="s">
        <v>0</v>
      </c>
      <c r="B179" t="s">
        <v>1</v>
      </c>
      <c r="C179" t="s">
        <v>2</v>
      </c>
      <c r="D179" t="s">
        <v>3</v>
      </c>
      <c r="E179" t="s">
        <v>4</v>
      </c>
      <c r="F179" t="s">
        <v>5</v>
      </c>
      <c r="G179" t="s">
        <v>188</v>
      </c>
      <c r="H179" t="s">
        <v>7</v>
      </c>
      <c r="I179" t="s">
        <v>189</v>
      </c>
    </row>
    <row r="180" spans="1:9" x14ac:dyDescent="0.25">
      <c r="A180" t="s">
        <v>0</v>
      </c>
      <c r="B180" t="s">
        <v>9</v>
      </c>
      <c r="C180">
        <v>8</v>
      </c>
      <c r="D180" t="s">
        <v>10</v>
      </c>
      <c r="E180" t="s">
        <v>11</v>
      </c>
      <c r="F180" t="s">
        <v>12</v>
      </c>
      <c r="G180">
        <v>1</v>
      </c>
      <c r="H180" t="s">
        <v>13</v>
      </c>
      <c r="I180" t="s">
        <v>11</v>
      </c>
    </row>
    <row r="181" spans="1:9" x14ac:dyDescent="0.25">
      <c r="A181" t="s">
        <v>0</v>
      </c>
      <c r="B181" t="s">
        <v>14</v>
      </c>
      <c r="C181" t="s">
        <v>15</v>
      </c>
      <c r="D181">
        <v>59</v>
      </c>
      <c r="E181" t="s">
        <v>4</v>
      </c>
      <c r="F181" t="s">
        <v>16</v>
      </c>
      <c r="G181" t="s">
        <v>190</v>
      </c>
    </row>
    <row r="182" spans="1:9" x14ac:dyDescent="0.25">
      <c r="A182" t="s">
        <v>0</v>
      </c>
      <c r="B182" t="s">
        <v>1</v>
      </c>
      <c r="C182" t="s">
        <v>2</v>
      </c>
      <c r="D182" t="s">
        <v>3</v>
      </c>
      <c r="E182" t="s">
        <v>4</v>
      </c>
      <c r="F182" t="s">
        <v>5</v>
      </c>
      <c r="G182" t="s">
        <v>191</v>
      </c>
      <c r="H182" t="s">
        <v>7</v>
      </c>
      <c r="I182" t="s">
        <v>192</v>
      </c>
    </row>
    <row r="183" spans="1:9" x14ac:dyDescent="0.25">
      <c r="A183" t="s">
        <v>0</v>
      </c>
      <c r="B183" t="s">
        <v>9</v>
      </c>
      <c r="C183">
        <v>22</v>
      </c>
      <c r="D183" t="s">
        <v>10</v>
      </c>
      <c r="E183" t="s">
        <v>11</v>
      </c>
      <c r="F183" t="s">
        <v>12</v>
      </c>
      <c r="G183">
        <v>3</v>
      </c>
      <c r="H183" t="s">
        <v>13</v>
      </c>
      <c r="I183" t="s">
        <v>11</v>
      </c>
    </row>
    <row r="184" spans="1:9" x14ac:dyDescent="0.25">
      <c r="A184" t="s">
        <v>0</v>
      </c>
      <c r="B184" t="s">
        <v>14</v>
      </c>
      <c r="C184" t="s">
        <v>15</v>
      </c>
      <c r="D184">
        <v>60</v>
      </c>
      <c r="E184" t="s">
        <v>4</v>
      </c>
      <c r="F184" t="s">
        <v>16</v>
      </c>
      <c r="G184" t="s">
        <v>193</v>
      </c>
    </row>
    <row r="185" spans="1:9" x14ac:dyDescent="0.25">
      <c r="A185" t="s">
        <v>0</v>
      </c>
      <c r="B185" t="s">
        <v>1</v>
      </c>
      <c r="C185" t="s">
        <v>2</v>
      </c>
      <c r="D185" t="s">
        <v>3</v>
      </c>
      <c r="E185" t="s">
        <v>4</v>
      </c>
      <c r="F185" t="s">
        <v>5</v>
      </c>
      <c r="G185" t="s">
        <v>194</v>
      </c>
      <c r="H185" t="s">
        <v>7</v>
      </c>
      <c r="I185" t="s">
        <v>195</v>
      </c>
    </row>
    <row r="186" spans="1:9" x14ac:dyDescent="0.25">
      <c r="A186" t="s">
        <v>0</v>
      </c>
      <c r="B186" t="s">
        <v>9</v>
      </c>
      <c r="C186">
        <v>238</v>
      </c>
      <c r="D186" t="s">
        <v>10</v>
      </c>
      <c r="E186" t="s">
        <v>11</v>
      </c>
      <c r="F186" t="s">
        <v>12</v>
      </c>
      <c r="G186">
        <v>30</v>
      </c>
      <c r="H186" t="s">
        <v>13</v>
      </c>
      <c r="I186" t="s">
        <v>11</v>
      </c>
    </row>
    <row r="187" spans="1:9" x14ac:dyDescent="0.25">
      <c r="A187" t="s">
        <v>0</v>
      </c>
      <c r="B187" t="s">
        <v>14</v>
      </c>
      <c r="C187" t="s">
        <v>15</v>
      </c>
      <c r="D187">
        <v>61</v>
      </c>
      <c r="E187" t="s">
        <v>4</v>
      </c>
      <c r="F187" t="s">
        <v>16</v>
      </c>
      <c r="G187" t="s">
        <v>196</v>
      </c>
    </row>
    <row r="188" spans="1:9" x14ac:dyDescent="0.25">
      <c r="A188" t="s">
        <v>0</v>
      </c>
      <c r="B188" t="s">
        <v>1</v>
      </c>
      <c r="C188" t="s">
        <v>2</v>
      </c>
      <c r="D188" t="s">
        <v>3</v>
      </c>
      <c r="E188" t="s">
        <v>4</v>
      </c>
      <c r="F188" t="s">
        <v>5</v>
      </c>
      <c r="G188" t="s">
        <v>197</v>
      </c>
      <c r="H188" t="s">
        <v>7</v>
      </c>
      <c r="I188" t="s">
        <v>198</v>
      </c>
    </row>
    <row r="189" spans="1:9" x14ac:dyDescent="0.25">
      <c r="A189" t="s">
        <v>0</v>
      </c>
      <c r="B189" t="s">
        <v>9</v>
      </c>
      <c r="C189">
        <v>224</v>
      </c>
      <c r="D189" t="s">
        <v>10</v>
      </c>
      <c r="E189" t="s">
        <v>11</v>
      </c>
      <c r="F189" t="s">
        <v>12</v>
      </c>
      <c r="G189">
        <v>28</v>
      </c>
      <c r="H189" t="s">
        <v>13</v>
      </c>
      <c r="I189" t="s">
        <v>11</v>
      </c>
    </row>
    <row r="190" spans="1:9" x14ac:dyDescent="0.25">
      <c r="A190" t="s">
        <v>0</v>
      </c>
      <c r="B190" t="s">
        <v>14</v>
      </c>
      <c r="C190" t="s">
        <v>15</v>
      </c>
      <c r="D190">
        <v>62</v>
      </c>
      <c r="E190" t="s">
        <v>4</v>
      </c>
      <c r="F190" t="s">
        <v>16</v>
      </c>
      <c r="G190" t="s">
        <v>199</v>
      </c>
    </row>
    <row r="191" spans="1:9" x14ac:dyDescent="0.25">
      <c r="A191" t="s">
        <v>0</v>
      </c>
      <c r="B191" t="s">
        <v>1</v>
      </c>
      <c r="C191" t="s">
        <v>2</v>
      </c>
      <c r="D191" t="s">
        <v>3</v>
      </c>
      <c r="E191" t="s">
        <v>4</v>
      </c>
      <c r="F191" t="s">
        <v>5</v>
      </c>
      <c r="G191" t="s">
        <v>200</v>
      </c>
      <c r="H191" t="s">
        <v>7</v>
      </c>
      <c r="I191" t="s">
        <v>201</v>
      </c>
    </row>
    <row r="192" spans="1:9" x14ac:dyDescent="0.25">
      <c r="A192" t="s">
        <v>0</v>
      </c>
      <c r="B192" t="s">
        <v>9</v>
      </c>
      <c r="C192">
        <v>190</v>
      </c>
      <c r="D192" t="s">
        <v>10</v>
      </c>
      <c r="E192" t="s">
        <v>11</v>
      </c>
      <c r="F192" t="s">
        <v>12</v>
      </c>
      <c r="G192">
        <v>24</v>
      </c>
      <c r="H192" t="s">
        <v>13</v>
      </c>
      <c r="I192" t="s">
        <v>11</v>
      </c>
    </row>
    <row r="193" spans="1:9" x14ac:dyDescent="0.25">
      <c r="A193" t="s">
        <v>0</v>
      </c>
      <c r="B193" t="s">
        <v>14</v>
      </c>
      <c r="C193" t="s">
        <v>15</v>
      </c>
      <c r="D193">
        <v>63</v>
      </c>
      <c r="E193" t="s">
        <v>4</v>
      </c>
      <c r="F193" t="s">
        <v>16</v>
      </c>
      <c r="G193" t="s">
        <v>202</v>
      </c>
    </row>
    <row r="194" spans="1:9" x14ac:dyDescent="0.25">
      <c r="A194" t="s">
        <v>0</v>
      </c>
      <c r="B194" t="s">
        <v>1</v>
      </c>
      <c r="C194" t="s">
        <v>2</v>
      </c>
      <c r="D194" t="s">
        <v>3</v>
      </c>
      <c r="E194" t="s">
        <v>4</v>
      </c>
      <c r="F194" t="s">
        <v>5</v>
      </c>
      <c r="G194" t="s">
        <v>203</v>
      </c>
      <c r="H194" t="s">
        <v>7</v>
      </c>
      <c r="I194" t="s">
        <v>204</v>
      </c>
    </row>
    <row r="195" spans="1:9" x14ac:dyDescent="0.25">
      <c r="A195" t="s">
        <v>0</v>
      </c>
      <c r="B195" t="s">
        <v>9</v>
      </c>
      <c r="C195">
        <v>56</v>
      </c>
      <c r="D195" t="s">
        <v>10</v>
      </c>
      <c r="E195" t="s">
        <v>11</v>
      </c>
      <c r="F195" t="s">
        <v>12</v>
      </c>
      <c r="G195">
        <v>7</v>
      </c>
      <c r="H195" t="s">
        <v>13</v>
      </c>
      <c r="I195" t="s">
        <v>11</v>
      </c>
    </row>
    <row r="196" spans="1:9" x14ac:dyDescent="0.25">
      <c r="A196" t="s">
        <v>0</v>
      </c>
      <c r="B196" t="s">
        <v>14</v>
      </c>
      <c r="C196" t="s">
        <v>15</v>
      </c>
      <c r="D196">
        <v>64</v>
      </c>
      <c r="E196" t="s">
        <v>4</v>
      </c>
      <c r="F196" t="s">
        <v>16</v>
      </c>
      <c r="G196" t="s">
        <v>205</v>
      </c>
    </row>
    <row r="197" spans="1:9" x14ac:dyDescent="0.25">
      <c r="A197" t="s">
        <v>0</v>
      </c>
      <c r="B197" t="s">
        <v>1</v>
      </c>
      <c r="C197" t="s">
        <v>2</v>
      </c>
      <c r="D197" t="s">
        <v>3</v>
      </c>
      <c r="E197" t="s">
        <v>4</v>
      </c>
      <c r="F197" t="s">
        <v>5</v>
      </c>
      <c r="G197" t="s">
        <v>206</v>
      </c>
      <c r="H197" t="s">
        <v>7</v>
      </c>
      <c r="I197" t="s">
        <v>207</v>
      </c>
    </row>
    <row r="198" spans="1:9" x14ac:dyDescent="0.25">
      <c r="A198" t="s">
        <v>0</v>
      </c>
      <c r="B198" t="s">
        <v>9</v>
      </c>
      <c r="C198">
        <v>102</v>
      </c>
      <c r="D198" t="s">
        <v>10</v>
      </c>
      <c r="E198" t="s">
        <v>11</v>
      </c>
      <c r="F198" t="s">
        <v>12</v>
      </c>
      <c r="G198">
        <v>13</v>
      </c>
      <c r="H198" t="s">
        <v>13</v>
      </c>
      <c r="I198" t="s">
        <v>11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D9098-4EAB-4868-A26C-85C94F55BAF1}">
  <sheetPr codeName="Sheet2"/>
  <dimension ref="A1:Q392"/>
  <sheetViews>
    <sheetView topLeftCell="R1" zoomScale="70" zoomScaleNormal="70" workbookViewId="0">
      <selection activeCell="AU14" sqref="AU14"/>
    </sheetView>
  </sheetViews>
  <sheetFormatPr defaultRowHeight="15" x14ac:dyDescent="0.25"/>
  <cols>
    <col min="2" max="2" width="8.85546875" customWidth="1"/>
    <col min="12" max="12" width="14.28515625" bestFit="1" customWidth="1"/>
    <col min="13" max="13" width="18.28515625" bestFit="1" customWidth="1"/>
    <col min="14" max="14" width="11.7109375" bestFit="1" customWidth="1"/>
    <col min="15" max="15" width="13.28515625" bestFit="1" customWidth="1"/>
    <col min="16" max="16" width="16.28515625" bestFit="1" customWidth="1"/>
    <col min="17" max="17" width="17.85546875" bestFit="1" customWidth="1"/>
  </cols>
  <sheetData>
    <row r="1" spans="1:17" x14ac:dyDescent="0.25">
      <c r="A1" t="s">
        <v>0</v>
      </c>
      <c r="B1" t="s">
        <v>1</v>
      </c>
      <c r="C1" t="s">
        <v>3</v>
      </c>
      <c r="D1" t="s">
        <v>4</v>
      </c>
      <c r="E1" t="s">
        <v>5</v>
      </c>
      <c r="F1" t="s">
        <v>208</v>
      </c>
      <c r="G1" t="s">
        <v>7</v>
      </c>
      <c r="H1" t="s">
        <v>209</v>
      </c>
      <c r="K1" t="s">
        <v>14</v>
      </c>
      <c r="L1" t="s">
        <v>598</v>
      </c>
      <c r="M1" t="s">
        <v>597</v>
      </c>
      <c r="N1" t="s">
        <v>599</v>
      </c>
      <c r="O1" t="s">
        <v>600</v>
      </c>
      <c r="P1" t="s">
        <v>601</v>
      </c>
      <c r="Q1" t="s">
        <v>602</v>
      </c>
    </row>
    <row r="2" spans="1:17" x14ac:dyDescent="0.25">
      <c r="A2" t="s">
        <v>0</v>
      </c>
      <c r="B2" t="s">
        <v>211</v>
      </c>
      <c r="C2" t="s">
        <v>215</v>
      </c>
      <c r="D2">
        <v>85</v>
      </c>
      <c r="E2" t="s">
        <v>212</v>
      </c>
      <c r="F2" t="s">
        <v>216</v>
      </c>
      <c r="G2">
        <v>10</v>
      </c>
      <c r="K2">
        <v>0</v>
      </c>
      <c r="L2" s="2">
        <v>128659.2</v>
      </c>
      <c r="M2" s="2">
        <v>119340.8</v>
      </c>
      <c r="N2">
        <v>119</v>
      </c>
      <c r="O2">
        <v>15</v>
      </c>
      <c r="P2">
        <v>110</v>
      </c>
      <c r="Q2">
        <v>14</v>
      </c>
    </row>
    <row r="3" spans="1:17" x14ac:dyDescent="0.25">
      <c r="A3" t="s">
        <v>0</v>
      </c>
      <c r="B3" t="s">
        <v>217</v>
      </c>
      <c r="C3" t="s">
        <v>218</v>
      </c>
      <c r="D3" t="s">
        <v>219</v>
      </c>
      <c r="E3">
        <v>0</v>
      </c>
      <c r="F3" t="s">
        <v>4</v>
      </c>
      <c r="G3" t="s">
        <v>16</v>
      </c>
      <c r="H3" t="s">
        <v>209</v>
      </c>
      <c r="K3">
        <v>1</v>
      </c>
      <c r="L3" s="2">
        <v>189792</v>
      </c>
      <c r="M3" s="2">
        <v>34963.199999999997</v>
      </c>
      <c r="N3">
        <v>176</v>
      </c>
      <c r="O3">
        <v>22</v>
      </c>
      <c r="P3">
        <v>31</v>
      </c>
      <c r="Q3">
        <v>4</v>
      </c>
    </row>
    <row r="4" spans="1:17" x14ac:dyDescent="0.25">
      <c r="A4" t="s">
        <v>0</v>
      </c>
      <c r="B4" t="s">
        <v>1</v>
      </c>
      <c r="C4" t="s">
        <v>3</v>
      </c>
      <c r="D4" t="s">
        <v>4</v>
      </c>
      <c r="E4" t="s">
        <v>5</v>
      </c>
      <c r="F4" t="s">
        <v>6</v>
      </c>
      <c r="G4" t="s">
        <v>7</v>
      </c>
      <c r="H4" t="s">
        <v>8</v>
      </c>
      <c r="K4">
        <v>2</v>
      </c>
      <c r="L4" s="2">
        <v>207302.39999999999</v>
      </c>
      <c r="M4" s="2">
        <v>84064</v>
      </c>
      <c r="N4">
        <v>191</v>
      </c>
      <c r="O4">
        <v>24</v>
      </c>
      <c r="P4">
        <v>78</v>
      </c>
      <c r="Q4">
        <v>10</v>
      </c>
    </row>
    <row r="5" spans="1:17" x14ac:dyDescent="0.25">
      <c r="A5" t="s">
        <v>0</v>
      </c>
      <c r="B5" t="s">
        <v>211</v>
      </c>
      <c r="C5" t="s">
        <v>215</v>
      </c>
      <c r="D5">
        <v>110</v>
      </c>
      <c r="E5" t="s">
        <v>212</v>
      </c>
      <c r="F5" t="s">
        <v>216</v>
      </c>
      <c r="G5">
        <v>14</v>
      </c>
      <c r="K5">
        <v>3</v>
      </c>
      <c r="L5" s="2">
        <v>36396.800000000003</v>
      </c>
      <c r="M5" s="2">
        <v>180985.60000000001</v>
      </c>
      <c r="N5">
        <v>32</v>
      </c>
      <c r="O5">
        <v>4</v>
      </c>
      <c r="P5">
        <v>167</v>
      </c>
      <c r="Q5">
        <v>21</v>
      </c>
    </row>
    <row r="6" spans="1:17" x14ac:dyDescent="0.25">
      <c r="A6" t="s">
        <v>0</v>
      </c>
      <c r="B6" t="s">
        <v>14</v>
      </c>
      <c r="C6" t="s">
        <v>15</v>
      </c>
      <c r="D6">
        <v>0</v>
      </c>
      <c r="E6" t="s">
        <v>4</v>
      </c>
      <c r="F6" t="s">
        <v>16</v>
      </c>
      <c r="G6" t="s">
        <v>17</v>
      </c>
      <c r="K6">
        <v>4</v>
      </c>
      <c r="L6" s="2">
        <v>198956.79999999999</v>
      </c>
      <c r="M6" s="2">
        <v>129529.60000000001</v>
      </c>
      <c r="N6">
        <v>183</v>
      </c>
      <c r="O6">
        <v>23</v>
      </c>
      <c r="P6">
        <v>118</v>
      </c>
      <c r="Q6">
        <v>15</v>
      </c>
    </row>
    <row r="7" spans="1:17" x14ac:dyDescent="0.25">
      <c r="A7" t="s">
        <v>0</v>
      </c>
      <c r="B7" t="s">
        <v>1</v>
      </c>
      <c r="C7" t="s">
        <v>3</v>
      </c>
      <c r="D7" t="s">
        <v>4</v>
      </c>
      <c r="E7" t="s">
        <v>5</v>
      </c>
      <c r="F7" t="s">
        <v>18</v>
      </c>
      <c r="G7" t="s">
        <v>7</v>
      </c>
      <c r="H7" t="s">
        <v>220</v>
      </c>
      <c r="K7">
        <v>5</v>
      </c>
      <c r="L7" s="2">
        <v>53958.400000000001</v>
      </c>
      <c r="M7" s="2">
        <v>182726.39999999999</v>
      </c>
      <c r="N7">
        <v>48</v>
      </c>
      <c r="O7">
        <v>6</v>
      </c>
      <c r="P7">
        <v>167</v>
      </c>
      <c r="Q7">
        <v>21</v>
      </c>
    </row>
    <row r="8" spans="1:17" x14ac:dyDescent="0.25">
      <c r="A8" t="s">
        <v>0</v>
      </c>
      <c r="B8" t="s">
        <v>211</v>
      </c>
      <c r="C8" t="s">
        <v>215</v>
      </c>
      <c r="D8">
        <v>119</v>
      </c>
      <c r="E8" t="s">
        <v>212</v>
      </c>
      <c r="F8" t="s">
        <v>216</v>
      </c>
      <c r="G8">
        <v>15</v>
      </c>
      <c r="K8">
        <v>6</v>
      </c>
      <c r="L8" s="2">
        <v>76640</v>
      </c>
      <c r="M8" s="2">
        <v>238585.60000000001</v>
      </c>
      <c r="N8">
        <v>71</v>
      </c>
      <c r="O8">
        <v>9</v>
      </c>
      <c r="P8">
        <v>222</v>
      </c>
      <c r="Q8">
        <v>28</v>
      </c>
    </row>
    <row r="9" spans="1:17" x14ac:dyDescent="0.25">
      <c r="A9" t="s">
        <v>0</v>
      </c>
      <c r="B9" t="s">
        <v>217</v>
      </c>
      <c r="C9" t="s">
        <v>218</v>
      </c>
      <c r="D9" t="s">
        <v>219</v>
      </c>
      <c r="E9">
        <v>0</v>
      </c>
      <c r="F9" t="s">
        <v>4</v>
      </c>
      <c r="G9" t="s">
        <v>16</v>
      </c>
      <c r="H9" t="s">
        <v>224</v>
      </c>
      <c r="K9">
        <v>7</v>
      </c>
      <c r="L9" s="2">
        <v>179091.20000000001</v>
      </c>
      <c r="M9" s="2">
        <v>53497.599999999999</v>
      </c>
      <c r="N9">
        <v>166</v>
      </c>
      <c r="O9">
        <v>21</v>
      </c>
      <c r="P9">
        <v>49</v>
      </c>
      <c r="Q9">
        <v>6</v>
      </c>
    </row>
    <row r="10" spans="1:17" x14ac:dyDescent="0.25">
      <c r="A10" t="s">
        <v>0</v>
      </c>
      <c r="B10" t="s">
        <v>1</v>
      </c>
      <c r="C10" t="s">
        <v>3</v>
      </c>
      <c r="D10" t="s">
        <v>4</v>
      </c>
      <c r="E10" t="s">
        <v>5</v>
      </c>
      <c r="F10" t="s">
        <v>225</v>
      </c>
      <c r="G10" t="s">
        <v>7</v>
      </c>
      <c r="H10" t="s">
        <v>226</v>
      </c>
      <c r="K10">
        <v>8</v>
      </c>
      <c r="L10" s="2">
        <v>26720</v>
      </c>
      <c r="M10" s="2">
        <v>229779.20000000001</v>
      </c>
      <c r="N10">
        <v>23</v>
      </c>
      <c r="O10">
        <v>3</v>
      </c>
      <c r="P10">
        <v>214</v>
      </c>
      <c r="Q10">
        <v>27</v>
      </c>
    </row>
    <row r="11" spans="1:17" x14ac:dyDescent="0.25">
      <c r="A11" t="s">
        <v>0</v>
      </c>
      <c r="B11" t="s">
        <v>211</v>
      </c>
      <c r="C11" t="s">
        <v>215</v>
      </c>
      <c r="D11">
        <v>31</v>
      </c>
      <c r="E11" t="s">
        <v>212</v>
      </c>
      <c r="F11" t="s">
        <v>216</v>
      </c>
      <c r="G11">
        <v>4</v>
      </c>
      <c r="K11">
        <v>9</v>
      </c>
      <c r="L11" s="2">
        <v>94816</v>
      </c>
      <c r="M11" s="2">
        <v>182931.20000000001</v>
      </c>
      <c r="N11">
        <v>86</v>
      </c>
      <c r="O11">
        <v>11</v>
      </c>
      <c r="P11">
        <v>169</v>
      </c>
      <c r="Q11">
        <v>21</v>
      </c>
    </row>
    <row r="12" spans="1:17" x14ac:dyDescent="0.25">
      <c r="A12" t="s">
        <v>0</v>
      </c>
      <c r="B12" t="s">
        <v>14</v>
      </c>
      <c r="C12" t="s">
        <v>15</v>
      </c>
      <c r="D12">
        <v>1</v>
      </c>
      <c r="E12" t="s">
        <v>4</v>
      </c>
      <c r="F12" t="s">
        <v>16</v>
      </c>
      <c r="G12" t="s">
        <v>227</v>
      </c>
      <c r="K12">
        <v>10</v>
      </c>
      <c r="L12" s="2">
        <v>58412.800000000003</v>
      </c>
      <c r="M12" s="2">
        <v>1888</v>
      </c>
      <c r="N12">
        <v>53</v>
      </c>
      <c r="O12">
        <v>7</v>
      </c>
      <c r="P12">
        <v>0</v>
      </c>
      <c r="Q12">
        <v>0</v>
      </c>
    </row>
    <row r="13" spans="1:17" x14ac:dyDescent="0.25">
      <c r="A13" t="s">
        <v>0</v>
      </c>
      <c r="B13" t="s">
        <v>1</v>
      </c>
      <c r="C13" t="s">
        <v>3</v>
      </c>
      <c r="D13" t="s">
        <v>4</v>
      </c>
      <c r="E13" t="s">
        <v>5</v>
      </c>
      <c r="F13" t="s">
        <v>228</v>
      </c>
      <c r="G13" t="s">
        <v>7</v>
      </c>
      <c r="H13" t="s">
        <v>229</v>
      </c>
      <c r="K13">
        <v>11</v>
      </c>
      <c r="L13" s="2">
        <v>247955.20000000001</v>
      </c>
      <c r="M13" s="2">
        <v>102649.60000000001</v>
      </c>
      <c r="N13">
        <v>232</v>
      </c>
      <c r="O13">
        <v>29</v>
      </c>
      <c r="P13">
        <v>95</v>
      </c>
      <c r="Q13">
        <v>12</v>
      </c>
    </row>
    <row r="14" spans="1:17" x14ac:dyDescent="0.25">
      <c r="A14" t="s">
        <v>0</v>
      </c>
      <c r="B14" t="s">
        <v>211</v>
      </c>
      <c r="C14" t="s">
        <v>215</v>
      </c>
      <c r="D14">
        <v>176</v>
      </c>
      <c r="E14" t="s">
        <v>212</v>
      </c>
      <c r="F14" t="s">
        <v>216</v>
      </c>
      <c r="G14">
        <v>22</v>
      </c>
      <c r="K14">
        <v>12</v>
      </c>
      <c r="L14" s="2">
        <v>112480</v>
      </c>
      <c r="M14" s="2">
        <v>164345.60000000001</v>
      </c>
      <c r="N14">
        <v>103</v>
      </c>
      <c r="O14">
        <v>13</v>
      </c>
      <c r="P14">
        <v>150</v>
      </c>
      <c r="Q14">
        <v>19</v>
      </c>
    </row>
    <row r="15" spans="1:17" x14ac:dyDescent="0.25">
      <c r="A15" t="s">
        <v>0</v>
      </c>
      <c r="B15" t="s">
        <v>217</v>
      </c>
      <c r="C15" t="s">
        <v>218</v>
      </c>
      <c r="D15" t="s">
        <v>219</v>
      </c>
      <c r="E15">
        <v>0</v>
      </c>
      <c r="F15" t="s">
        <v>4</v>
      </c>
      <c r="G15" t="s">
        <v>16</v>
      </c>
      <c r="H15" t="s">
        <v>230</v>
      </c>
      <c r="K15">
        <v>13</v>
      </c>
      <c r="L15" s="2">
        <v>51808</v>
      </c>
      <c r="M15" s="2">
        <v>106540.8</v>
      </c>
      <c r="N15">
        <v>46</v>
      </c>
      <c r="O15">
        <v>6</v>
      </c>
      <c r="P15">
        <v>97</v>
      </c>
      <c r="Q15">
        <v>12</v>
      </c>
    </row>
    <row r="16" spans="1:17" x14ac:dyDescent="0.25">
      <c r="A16" t="s">
        <v>0</v>
      </c>
      <c r="B16" t="s">
        <v>1</v>
      </c>
      <c r="C16" t="s">
        <v>3</v>
      </c>
      <c r="D16" t="s">
        <v>4</v>
      </c>
      <c r="E16" t="s">
        <v>5</v>
      </c>
      <c r="F16" t="s">
        <v>231</v>
      </c>
      <c r="G16" t="s">
        <v>7</v>
      </c>
      <c r="H16" t="s">
        <v>232</v>
      </c>
      <c r="K16">
        <v>14</v>
      </c>
      <c r="L16" s="2">
        <v>77510.399999999994</v>
      </c>
      <c r="M16" s="2">
        <v>120108.8</v>
      </c>
      <c r="N16">
        <v>71</v>
      </c>
      <c r="O16">
        <v>9</v>
      </c>
      <c r="P16">
        <v>110</v>
      </c>
      <c r="Q16">
        <v>14</v>
      </c>
    </row>
    <row r="17" spans="1:17" x14ac:dyDescent="0.25">
      <c r="A17" t="s">
        <v>0</v>
      </c>
      <c r="B17" t="s">
        <v>211</v>
      </c>
      <c r="C17" t="s">
        <v>215</v>
      </c>
      <c r="D17">
        <v>78</v>
      </c>
      <c r="E17" t="s">
        <v>212</v>
      </c>
      <c r="F17" t="s">
        <v>216</v>
      </c>
      <c r="G17">
        <v>10</v>
      </c>
      <c r="K17">
        <v>15</v>
      </c>
      <c r="L17" s="2">
        <v>146835.20000000001</v>
      </c>
      <c r="M17" s="2">
        <v>179756.79999999999</v>
      </c>
      <c r="N17">
        <v>136</v>
      </c>
      <c r="O17">
        <v>17</v>
      </c>
      <c r="P17">
        <v>167</v>
      </c>
      <c r="Q17">
        <v>21</v>
      </c>
    </row>
    <row r="18" spans="1:17" x14ac:dyDescent="0.25">
      <c r="A18" t="s">
        <v>0</v>
      </c>
      <c r="B18" t="s">
        <v>14</v>
      </c>
      <c r="C18" t="s">
        <v>15</v>
      </c>
      <c r="D18">
        <v>2</v>
      </c>
      <c r="E18" t="s">
        <v>4</v>
      </c>
      <c r="F18" t="s">
        <v>16</v>
      </c>
      <c r="G18" t="s">
        <v>233</v>
      </c>
      <c r="K18">
        <v>16</v>
      </c>
      <c r="L18" s="2">
        <v>18425.599999999999</v>
      </c>
      <c r="M18" s="2">
        <v>180576</v>
      </c>
      <c r="N18">
        <v>15</v>
      </c>
      <c r="O18">
        <v>2</v>
      </c>
      <c r="P18">
        <v>166</v>
      </c>
      <c r="Q18">
        <v>21</v>
      </c>
    </row>
    <row r="19" spans="1:17" x14ac:dyDescent="0.25">
      <c r="A19" t="s">
        <v>0</v>
      </c>
      <c r="B19" t="s">
        <v>1</v>
      </c>
      <c r="C19" t="s">
        <v>3</v>
      </c>
      <c r="D19" t="s">
        <v>4</v>
      </c>
      <c r="E19" t="s">
        <v>5</v>
      </c>
      <c r="F19" t="s">
        <v>234</v>
      </c>
      <c r="G19" t="s">
        <v>7</v>
      </c>
      <c r="H19" t="s">
        <v>235</v>
      </c>
      <c r="K19">
        <v>17</v>
      </c>
      <c r="L19" s="2">
        <v>70752</v>
      </c>
      <c r="M19" s="2">
        <v>187590.39999999999</v>
      </c>
      <c r="N19">
        <v>64</v>
      </c>
      <c r="O19">
        <v>8</v>
      </c>
      <c r="P19">
        <v>175</v>
      </c>
      <c r="Q19">
        <v>22</v>
      </c>
    </row>
    <row r="20" spans="1:17" x14ac:dyDescent="0.25">
      <c r="A20" t="s">
        <v>0</v>
      </c>
      <c r="B20" t="s">
        <v>211</v>
      </c>
      <c r="C20" t="s">
        <v>215</v>
      </c>
      <c r="D20">
        <v>191</v>
      </c>
      <c r="E20" t="s">
        <v>212</v>
      </c>
      <c r="F20" t="s">
        <v>216</v>
      </c>
      <c r="G20">
        <v>24</v>
      </c>
      <c r="K20">
        <v>18</v>
      </c>
      <c r="L20" s="2">
        <v>130912</v>
      </c>
      <c r="M20" s="2">
        <v>171001.60000000001</v>
      </c>
      <c r="N20">
        <v>119</v>
      </c>
      <c r="O20">
        <v>15</v>
      </c>
      <c r="P20">
        <v>158</v>
      </c>
      <c r="Q20">
        <v>20</v>
      </c>
    </row>
    <row r="21" spans="1:17" x14ac:dyDescent="0.25">
      <c r="A21" t="s">
        <v>0</v>
      </c>
      <c r="B21" t="s">
        <v>217</v>
      </c>
      <c r="C21" t="s">
        <v>218</v>
      </c>
      <c r="D21" t="s">
        <v>219</v>
      </c>
      <c r="E21">
        <v>0</v>
      </c>
      <c r="F21" t="s">
        <v>4</v>
      </c>
      <c r="G21" t="s">
        <v>16</v>
      </c>
      <c r="H21" t="s">
        <v>236</v>
      </c>
      <c r="K21">
        <v>19</v>
      </c>
      <c r="L21" s="2">
        <v>173766.39999999999</v>
      </c>
      <c r="M21" s="2">
        <v>44537.599999999999</v>
      </c>
      <c r="N21">
        <v>160</v>
      </c>
      <c r="O21">
        <v>20</v>
      </c>
      <c r="P21">
        <v>39</v>
      </c>
      <c r="Q21">
        <v>5</v>
      </c>
    </row>
    <row r="22" spans="1:17" x14ac:dyDescent="0.25">
      <c r="A22" t="s">
        <v>0</v>
      </c>
      <c r="B22" t="s">
        <v>1</v>
      </c>
      <c r="C22" t="s">
        <v>3</v>
      </c>
      <c r="D22" t="s">
        <v>4</v>
      </c>
      <c r="E22" t="s">
        <v>5</v>
      </c>
      <c r="F22" t="s">
        <v>237</v>
      </c>
      <c r="G22" t="s">
        <v>7</v>
      </c>
      <c r="H22" t="s">
        <v>238</v>
      </c>
      <c r="K22">
        <v>20</v>
      </c>
      <c r="L22" s="2">
        <v>239353.60000000001</v>
      </c>
      <c r="M22" s="2">
        <v>144633.60000000001</v>
      </c>
      <c r="N22">
        <v>223</v>
      </c>
      <c r="O22">
        <v>28</v>
      </c>
      <c r="P22">
        <v>134</v>
      </c>
      <c r="Q22">
        <v>17</v>
      </c>
    </row>
    <row r="23" spans="1:17" x14ac:dyDescent="0.25">
      <c r="A23" t="s">
        <v>0</v>
      </c>
      <c r="B23" t="s">
        <v>211</v>
      </c>
      <c r="C23" t="s">
        <v>215</v>
      </c>
      <c r="D23">
        <v>167</v>
      </c>
      <c r="E23" t="s">
        <v>212</v>
      </c>
      <c r="F23" t="s">
        <v>216</v>
      </c>
      <c r="G23">
        <v>21</v>
      </c>
      <c r="K23">
        <v>21</v>
      </c>
      <c r="L23" s="2">
        <v>113401.60000000001</v>
      </c>
      <c r="M23" s="2">
        <v>94867.199999999997</v>
      </c>
      <c r="N23">
        <v>104</v>
      </c>
      <c r="O23">
        <v>13</v>
      </c>
      <c r="P23">
        <v>87</v>
      </c>
      <c r="Q23">
        <v>11</v>
      </c>
    </row>
    <row r="24" spans="1:17" x14ac:dyDescent="0.25">
      <c r="A24" t="s">
        <v>0</v>
      </c>
      <c r="B24" t="s">
        <v>14</v>
      </c>
      <c r="C24" t="s">
        <v>15</v>
      </c>
      <c r="D24">
        <v>3</v>
      </c>
      <c r="E24" t="s">
        <v>4</v>
      </c>
      <c r="F24" t="s">
        <v>16</v>
      </c>
      <c r="G24" t="s">
        <v>239</v>
      </c>
      <c r="K24">
        <v>22</v>
      </c>
      <c r="L24" s="2">
        <v>43411.199999999997</v>
      </c>
      <c r="M24" s="2">
        <v>222816</v>
      </c>
      <c r="N24">
        <v>39</v>
      </c>
      <c r="O24">
        <v>5</v>
      </c>
      <c r="P24">
        <v>206</v>
      </c>
      <c r="Q24">
        <v>26</v>
      </c>
    </row>
    <row r="25" spans="1:17" x14ac:dyDescent="0.25">
      <c r="A25" t="s">
        <v>0</v>
      </c>
      <c r="B25" t="s">
        <v>1</v>
      </c>
      <c r="C25" t="s">
        <v>3</v>
      </c>
      <c r="D25" t="s">
        <v>4</v>
      </c>
      <c r="E25" t="s">
        <v>5</v>
      </c>
      <c r="F25" t="s">
        <v>240</v>
      </c>
      <c r="G25" t="s">
        <v>7</v>
      </c>
      <c r="H25" t="s">
        <v>241</v>
      </c>
      <c r="K25">
        <v>23</v>
      </c>
      <c r="L25" s="2">
        <v>36294.400000000001</v>
      </c>
      <c r="M25" s="2">
        <v>94304</v>
      </c>
      <c r="N25">
        <v>32</v>
      </c>
      <c r="O25">
        <v>4</v>
      </c>
      <c r="P25">
        <v>87</v>
      </c>
      <c r="Q25">
        <v>11</v>
      </c>
    </row>
    <row r="26" spans="1:17" x14ac:dyDescent="0.25">
      <c r="A26" t="s">
        <v>0</v>
      </c>
      <c r="B26" t="s">
        <v>211</v>
      </c>
      <c r="C26" t="s">
        <v>215</v>
      </c>
      <c r="D26">
        <v>32</v>
      </c>
      <c r="E26" t="s">
        <v>212</v>
      </c>
      <c r="F26" t="s">
        <v>216</v>
      </c>
      <c r="G26">
        <v>4</v>
      </c>
      <c r="K26">
        <v>24</v>
      </c>
      <c r="L26" s="2">
        <v>103571.2</v>
      </c>
      <c r="M26" s="2">
        <v>33836.800000000003</v>
      </c>
      <c r="N26">
        <v>95</v>
      </c>
      <c r="O26">
        <v>12</v>
      </c>
      <c r="P26">
        <v>30</v>
      </c>
      <c r="Q26">
        <v>4</v>
      </c>
    </row>
    <row r="27" spans="1:17" x14ac:dyDescent="0.25">
      <c r="A27" t="s">
        <v>0</v>
      </c>
      <c r="B27" t="s">
        <v>217</v>
      </c>
      <c r="C27" t="s">
        <v>218</v>
      </c>
      <c r="D27" t="s">
        <v>219</v>
      </c>
      <c r="E27">
        <v>0</v>
      </c>
      <c r="F27" t="s">
        <v>4</v>
      </c>
      <c r="G27" t="s">
        <v>16</v>
      </c>
      <c r="H27" t="s">
        <v>242</v>
      </c>
      <c r="K27">
        <v>25</v>
      </c>
      <c r="L27" s="2">
        <v>129427.2</v>
      </c>
      <c r="M27" s="2">
        <v>248620.79999999999</v>
      </c>
      <c r="N27">
        <v>120</v>
      </c>
      <c r="O27">
        <v>15</v>
      </c>
      <c r="P27">
        <v>231</v>
      </c>
      <c r="Q27">
        <v>29</v>
      </c>
    </row>
    <row r="28" spans="1:17" x14ac:dyDescent="0.25">
      <c r="A28" t="s">
        <v>0</v>
      </c>
      <c r="B28" t="s">
        <v>1</v>
      </c>
      <c r="C28" t="s">
        <v>3</v>
      </c>
      <c r="D28" t="s">
        <v>4</v>
      </c>
      <c r="E28" t="s">
        <v>5</v>
      </c>
      <c r="F28" t="s">
        <v>243</v>
      </c>
      <c r="G28" t="s">
        <v>7</v>
      </c>
      <c r="H28" t="s">
        <v>244</v>
      </c>
      <c r="K28">
        <v>26</v>
      </c>
      <c r="L28" s="2">
        <v>138694.39999999999</v>
      </c>
      <c r="M28" s="2">
        <v>67833.600000000006</v>
      </c>
      <c r="N28">
        <v>127</v>
      </c>
      <c r="O28">
        <v>16</v>
      </c>
      <c r="P28">
        <v>62</v>
      </c>
      <c r="Q28">
        <v>8</v>
      </c>
    </row>
    <row r="29" spans="1:17" x14ac:dyDescent="0.25">
      <c r="A29" t="s">
        <v>0</v>
      </c>
      <c r="B29" t="s">
        <v>211</v>
      </c>
      <c r="C29" t="s">
        <v>215</v>
      </c>
      <c r="D29">
        <v>118</v>
      </c>
      <c r="E29" t="s">
        <v>212</v>
      </c>
      <c r="F29" t="s">
        <v>216</v>
      </c>
      <c r="G29">
        <v>15</v>
      </c>
      <c r="K29">
        <v>27</v>
      </c>
      <c r="L29" s="2">
        <v>207763.20000000001</v>
      </c>
      <c r="M29" s="2">
        <v>189894.39999999999</v>
      </c>
      <c r="N29">
        <v>192</v>
      </c>
      <c r="O29">
        <v>24</v>
      </c>
      <c r="P29">
        <v>175</v>
      </c>
      <c r="Q29">
        <v>22</v>
      </c>
    </row>
    <row r="30" spans="1:17" x14ac:dyDescent="0.25">
      <c r="A30" t="s">
        <v>0</v>
      </c>
      <c r="B30" t="s">
        <v>14</v>
      </c>
      <c r="C30" t="s">
        <v>15</v>
      </c>
      <c r="D30">
        <v>4</v>
      </c>
      <c r="E30" t="s">
        <v>4</v>
      </c>
      <c r="F30" t="s">
        <v>16</v>
      </c>
      <c r="G30" t="s">
        <v>245</v>
      </c>
      <c r="K30">
        <v>28</v>
      </c>
      <c r="L30" s="2">
        <v>145862.39999999999</v>
      </c>
      <c r="M30" s="2">
        <v>137004.79999999999</v>
      </c>
      <c r="N30">
        <v>135</v>
      </c>
      <c r="O30">
        <v>17</v>
      </c>
      <c r="P30">
        <v>126</v>
      </c>
      <c r="Q30">
        <v>16</v>
      </c>
    </row>
    <row r="31" spans="1:17" x14ac:dyDescent="0.25">
      <c r="A31" t="s">
        <v>0</v>
      </c>
      <c r="B31" t="s">
        <v>1</v>
      </c>
      <c r="C31" t="s">
        <v>3</v>
      </c>
      <c r="D31" t="s">
        <v>4</v>
      </c>
      <c r="E31" t="s">
        <v>5</v>
      </c>
      <c r="F31" t="s">
        <v>246</v>
      </c>
      <c r="G31" t="s">
        <v>7</v>
      </c>
      <c r="H31" t="s">
        <v>247</v>
      </c>
      <c r="K31">
        <v>29</v>
      </c>
      <c r="L31" s="2">
        <v>102240</v>
      </c>
      <c r="M31" s="2">
        <v>248313.60000000001</v>
      </c>
      <c r="N31">
        <v>96</v>
      </c>
      <c r="O31">
        <v>12</v>
      </c>
      <c r="P31">
        <v>231</v>
      </c>
      <c r="Q31">
        <v>29</v>
      </c>
    </row>
    <row r="32" spans="1:17" x14ac:dyDescent="0.25">
      <c r="A32" t="s">
        <v>0</v>
      </c>
      <c r="B32" t="s">
        <v>211</v>
      </c>
      <c r="C32" t="s">
        <v>215</v>
      </c>
      <c r="D32">
        <v>183</v>
      </c>
      <c r="E32" t="s">
        <v>212</v>
      </c>
      <c r="F32" t="s">
        <v>216</v>
      </c>
      <c r="G32">
        <v>23</v>
      </c>
      <c r="K32">
        <v>30</v>
      </c>
      <c r="L32" s="2">
        <v>139820.79999999999</v>
      </c>
      <c r="M32" s="2">
        <v>8544</v>
      </c>
      <c r="N32">
        <v>127</v>
      </c>
      <c r="O32">
        <v>16</v>
      </c>
      <c r="P32">
        <v>6</v>
      </c>
      <c r="Q32">
        <v>1</v>
      </c>
    </row>
    <row r="33" spans="1:17" x14ac:dyDescent="0.25">
      <c r="A33" t="s">
        <v>0</v>
      </c>
      <c r="B33" t="s">
        <v>217</v>
      </c>
      <c r="C33" t="s">
        <v>218</v>
      </c>
      <c r="D33" t="s">
        <v>219</v>
      </c>
      <c r="E33">
        <v>0</v>
      </c>
      <c r="F33" t="s">
        <v>4</v>
      </c>
      <c r="G33" t="s">
        <v>16</v>
      </c>
      <c r="H33" t="s">
        <v>248</v>
      </c>
      <c r="K33">
        <v>31</v>
      </c>
      <c r="L33" s="2">
        <v>104185.60000000001</v>
      </c>
      <c r="M33" s="2">
        <v>79302.399999999994</v>
      </c>
      <c r="N33">
        <v>96</v>
      </c>
      <c r="O33">
        <v>12</v>
      </c>
      <c r="P33">
        <v>71</v>
      </c>
      <c r="Q33">
        <v>9</v>
      </c>
    </row>
    <row r="34" spans="1:17" x14ac:dyDescent="0.25">
      <c r="A34" t="s">
        <v>0</v>
      </c>
      <c r="B34" t="s">
        <v>1</v>
      </c>
      <c r="C34" t="s">
        <v>3</v>
      </c>
      <c r="D34" t="s">
        <v>4</v>
      </c>
      <c r="E34" t="s">
        <v>5</v>
      </c>
      <c r="F34" t="s">
        <v>249</v>
      </c>
      <c r="G34" t="s">
        <v>7</v>
      </c>
      <c r="H34" t="s">
        <v>250</v>
      </c>
      <c r="K34">
        <v>32</v>
      </c>
      <c r="L34" s="2">
        <v>222662.39999999999</v>
      </c>
      <c r="M34" s="2">
        <v>42796.800000000003</v>
      </c>
      <c r="N34">
        <v>207</v>
      </c>
      <c r="O34">
        <v>26</v>
      </c>
      <c r="P34">
        <v>38</v>
      </c>
      <c r="Q34">
        <v>5</v>
      </c>
    </row>
    <row r="35" spans="1:17" x14ac:dyDescent="0.25">
      <c r="A35" t="s">
        <v>0</v>
      </c>
      <c r="B35" t="s">
        <v>211</v>
      </c>
      <c r="C35" t="s">
        <v>215</v>
      </c>
      <c r="D35">
        <v>167</v>
      </c>
      <c r="E35" t="s">
        <v>212</v>
      </c>
      <c r="F35" t="s">
        <v>216</v>
      </c>
      <c r="G35">
        <v>21</v>
      </c>
      <c r="K35">
        <v>33</v>
      </c>
      <c r="L35" s="2">
        <v>28000</v>
      </c>
      <c r="M35" s="2">
        <v>78790.399999999994</v>
      </c>
      <c r="N35">
        <v>24</v>
      </c>
      <c r="O35">
        <v>3</v>
      </c>
      <c r="P35">
        <v>71</v>
      </c>
      <c r="Q35">
        <v>9</v>
      </c>
    </row>
    <row r="36" spans="1:17" x14ac:dyDescent="0.25">
      <c r="A36" t="s">
        <v>0</v>
      </c>
      <c r="B36" t="s">
        <v>14</v>
      </c>
      <c r="C36" t="s">
        <v>15</v>
      </c>
      <c r="D36">
        <v>5</v>
      </c>
      <c r="E36" t="s">
        <v>4</v>
      </c>
      <c r="F36" t="s">
        <v>16</v>
      </c>
      <c r="G36" t="s">
        <v>251</v>
      </c>
      <c r="K36">
        <v>34</v>
      </c>
      <c r="L36" s="2">
        <v>146118.39999999999</v>
      </c>
      <c r="M36" s="2">
        <v>16940.8</v>
      </c>
      <c r="N36">
        <v>135</v>
      </c>
      <c r="O36">
        <v>17</v>
      </c>
      <c r="P36">
        <v>14</v>
      </c>
      <c r="Q36">
        <v>2</v>
      </c>
    </row>
    <row r="37" spans="1:17" x14ac:dyDescent="0.25">
      <c r="A37" t="s">
        <v>0</v>
      </c>
      <c r="B37" t="s">
        <v>1</v>
      </c>
      <c r="C37" t="s">
        <v>3</v>
      </c>
      <c r="D37" t="s">
        <v>4</v>
      </c>
      <c r="E37" t="s">
        <v>5</v>
      </c>
      <c r="F37" t="s">
        <v>252</v>
      </c>
      <c r="G37" t="s">
        <v>7</v>
      </c>
      <c r="H37" t="s">
        <v>253</v>
      </c>
      <c r="K37">
        <v>35</v>
      </c>
      <c r="L37" s="2">
        <v>65836.800000000003</v>
      </c>
      <c r="M37" s="2">
        <v>4755.2</v>
      </c>
      <c r="N37">
        <v>61</v>
      </c>
      <c r="O37">
        <v>7</v>
      </c>
      <c r="P37">
        <v>3</v>
      </c>
      <c r="Q37">
        <v>0</v>
      </c>
    </row>
    <row r="38" spans="1:17" x14ac:dyDescent="0.25">
      <c r="A38" t="s">
        <v>0</v>
      </c>
      <c r="B38" t="s">
        <v>211</v>
      </c>
      <c r="C38" t="s">
        <v>215</v>
      </c>
      <c r="D38">
        <v>48</v>
      </c>
      <c r="E38" t="s">
        <v>212</v>
      </c>
      <c r="F38" t="s">
        <v>216</v>
      </c>
      <c r="G38">
        <v>6</v>
      </c>
      <c r="K38">
        <v>36</v>
      </c>
      <c r="L38" s="2">
        <v>103468.8</v>
      </c>
      <c r="M38" s="2">
        <v>119699.2</v>
      </c>
      <c r="N38">
        <v>95</v>
      </c>
      <c r="O38">
        <v>12</v>
      </c>
      <c r="P38">
        <v>110</v>
      </c>
      <c r="Q38">
        <v>14</v>
      </c>
    </row>
    <row r="39" spans="1:17" x14ac:dyDescent="0.25">
      <c r="A39" t="s">
        <v>0</v>
      </c>
      <c r="B39" t="s">
        <v>217</v>
      </c>
      <c r="C39" t="s">
        <v>218</v>
      </c>
      <c r="D39" t="s">
        <v>219</v>
      </c>
      <c r="E39">
        <v>0</v>
      </c>
      <c r="F39" t="s">
        <v>4</v>
      </c>
      <c r="G39" t="s">
        <v>16</v>
      </c>
      <c r="H39" t="s">
        <v>254</v>
      </c>
      <c r="K39">
        <v>37</v>
      </c>
      <c r="L39" s="2">
        <v>199008</v>
      </c>
      <c r="M39" s="2">
        <v>187897.60000000001</v>
      </c>
      <c r="N39">
        <v>184</v>
      </c>
      <c r="O39">
        <v>23</v>
      </c>
      <c r="P39">
        <v>175</v>
      </c>
      <c r="Q39">
        <v>22</v>
      </c>
    </row>
    <row r="40" spans="1:17" x14ac:dyDescent="0.25">
      <c r="A40" t="s">
        <v>0</v>
      </c>
      <c r="B40" t="s">
        <v>1</v>
      </c>
      <c r="C40" t="s">
        <v>3</v>
      </c>
      <c r="D40" t="s">
        <v>4</v>
      </c>
      <c r="E40" t="s">
        <v>5</v>
      </c>
      <c r="F40" t="s">
        <v>255</v>
      </c>
      <c r="G40" t="s">
        <v>7</v>
      </c>
      <c r="H40" t="s">
        <v>256</v>
      </c>
      <c r="K40">
        <v>38</v>
      </c>
      <c r="L40" s="2">
        <v>87545.600000000006</v>
      </c>
      <c r="M40" s="2">
        <v>60409.599999999999</v>
      </c>
      <c r="N40">
        <v>79</v>
      </c>
      <c r="O40">
        <v>10</v>
      </c>
      <c r="P40">
        <v>54</v>
      </c>
      <c r="Q40">
        <v>7</v>
      </c>
    </row>
    <row r="41" spans="1:17" x14ac:dyDescent="0.25">
      <c r="A41" t="s">
        <v>0</v>
      </c>
      <c r="B41" t="s">
        <v>211</v>
      </c>
      <c r="C41" t="s">
        <v>215</v>
      </c>
      <c r="D41">
        <v>222</v>
      </c>
      <c r="E41" t="s">
        <v>212</v>
      </c>
      <c r="F41" t="s">
        <v>216</v>
      </c>
      <c r="G41">
        <v>28</v>
      </c>
      <c r="K41">
        <v>39</v>
      </c>
      <c r="L41" s="2">
        <v>129836.8</v>
      </c>
      <c r="M41" s="2">
        <v>52166.400000000001</v>
      </c>
      <c r="N41">
        <v>120</v>
      </c>
      <c r="O41">
        <v>15</v>
      </c>
      <c r="P41">
        <v>47</v>
      </c>
      <c r="Q41">
        <v>6</v>
      </c>
    </row>
    <row r="42" spans="1:17" x14ac:dyDescent="0.25">
      <c r="A42" t="s">
        <v>0</v>
      </c>
      <c r="B42" t="s">
        <v>14</v>
      </c>
      <c r="C42" t="s">
        <v>15</v>
      </c>
      <c r="D42">
        <v>6</v>
      </c>
      <c r="E42" t="s">
        <v>4</v>
      </c>
      <c r="F42" t="s">
        <v>16</v>
      </c>
      <c r="G42" t="s">
        <v>257</v>
      </c>
      <c r="K42">
        <v>40</v>
      </c>
      <c r="L42" s="2">
        <v>35577.599999999999</v>
      </c>
      <c r="M42" s="2">
        <v>68499.199999999997</v>
      </c>
      <c r="N42">
        <v>31</v>
      </c>
      <c r="O42">
        <v>4</v>
      </c>
      <c r="P42">
        <v>62</v>
      </c>
      <c r="Q42">
        <v>8</v>
      </c>
    </row>
    <row r="43" spans="1:17" x14ac:dyDescent="0.25">
      <c r="A43" t="s">
        <v>0</v>
      </c>
      <c r="B43" t="s">
        <v>1</v>
      </c>
      <c r="C43" t="s">
        <v>3</v>
      </c>
      <c r="D43" t="s">
        <v>4</v>
      </c>
      <c r="E43" t="s">
        <v>5</v>
      </c>
      <c r="F43" t="s">
        <v>258</v>
      </c>
      <c r="G43" t="s">
        <v>7</v>
      </c>
      <c r="H43" t="s">
        <v>259</v>
      </c>
      <c r="K43">
        <v>41</v>
      </c>
      <c r="L43" s="2">
        <v>232748.79999999999</v>
      </c>
      <c r="M43" s="2">
        <v>120364.8</v>
      </c>
      <c r="N43">
        <v>216</v>
      </c>
      <c r="O43">
        <v>27</v>
      </c>
      <c r="P43">
        <v>111</v>
      </c>
      <c r="Q43">
        <v>14</v>
      </c>
    </row>
    <row r="44" spans="1:17" x14ac:dyDescent="0.25">
      <c r="A44" t="s">
        <v>0</v>
      </c>
      <c r="B44" t="s">
        <v>211</v>
      </c>
      <c r="C44" t="s">
        <v>215</v>
      </c>
      <c r="D44">
        <v>71</v>
      </c>
      <c r="E44" t="s">
        <v>212</v>
      </c>
      <c r="F44" t="s">
        <v>216</v>
      </c>
      <c r="G44">
        <v>9</v>
      </c>
      <c r="K44">
        <v>42</v>
      </c>
      <c r="L44" s="2">
        <v>223532.79999999999</v>
      </c>
      <c r="M44" s="2">
        <v>25644.799999999999</v>
      </c>
      <c r="N44">
        <v>207</v>
      </c>
      <c r="O44">
        <v>26</v>
      </c>
      <c r="P44">
        <v>22</v>
      </c>
      <c r="Q44">
        <v>3</v>
      </c>
    </row>
    <row r="45" spans="1:17" x14ac:dyDescent="0.25">
      <c r="A45" t="s">
        <v>0</v>
      </c>
      <c r="B45" t="s">
        <v>217</v>
      </c>
      <c r="C45" t="s">
        <v>218</v>
      </c>
      <c r="D45" t="s">
        <v>219</v>
      </c>
      <c r="E45">
        <v>0</v>
      </c>
      <c r="F45" t="s">
        <v>4</v>
      </c>
      <c r="G45" t="s">
        <v>16</v>
      </c>
      <c r="H45" t="s">
        <v>260</v>
      </c>
      <c r="K45">
        <v>43</v>
      </c>
      <c r="L45" s="2">
        <v>8339.2000000000007</v>
      </c>
      <c r="M45" s="2">
        <v>179705.60000000001</v>
      </c>
      <c r="N45">
        <v>6</v>
      </c>
      <c r="O45">
        <v>1</v>
      </c>
      <c r="P45">
        <v>167</v>
      </c>
      <c r="Q45">
        <v>21</v>
      </c>
    </row>
    <row r="46" spans="1:17" x14ac:dyDescent="0.25">
      <c r="A46" t="s">
        <v>0</v>
      </c>
      <c r="B46" t="s">
        <v>1</v>
      </c>
      <c r="C46" t="s">
        <v>3</v>
      </c>
      <c r="D46" t="s">
        <v>4</v>
      </c>
      <c r="E46" t="s">
        <v>5</v>
      </c>
      <c r="F46" t="s">
        <v>261</v>
      </c>
      <c r="G46" t="s">
        <v>7</v>
      </c>
      <c r="H46" t="s">
        <v>262</v>
      </c>
      <c r="K46">
        <v>44</v>
      </c>
      <c r="L46" s="2">
        <v>259014.39999999999</v>
      </c>
      <c r="M46" s="2">
        <v>52883.199999999997</v>
      </c>
      <c r="N46">
        <v>239</v>
      </c>
      <c r="O46">
        <v>30</v>
      </c>
      <c r="P46">
        <v>48</v>
      </c>
      <c r="Q46">
        <v>6</v>
      </c>
    </row>
    <row r="47" spans="1:17" x14ac:dyDescent="0.25">
      <c r="A47" t="s">
        <v>0</v>
      </c>
      <c r="B47" t="s">
        <v>211</v>
      </c>
      <c r="C47" t="s">
        <v>215</v>
      </c>
      <c r="D47">
        <v>49</v>
      </c>
      <c r="E47" t="s">
        <v>212</v>
      </c>
      <c r="F47" t="s">
        <v>216</v>
      </c>
      <c r="G47">
        <v>6</v>
      </c>
      <c r="K47">
        <v>45</v>
      </c>
      <c r="L47" s="2">
        <v>96915.199999999997</v>
      </c>
      <c r="M47" s="2">
        <v>182009.60000000001</v>
      </c>
      <c r="N47">
        <v>88</v>
      </c>
      <c r="O47">
        <v>11</v>
      </c>
      <c r="P47">
        <v>167</v>
      </c>
      <c r="Q47">
        <v>21</v>
      </c>
    </row>
    <row r="48" spans="1:17" x14ac:dyDescent="0.25">
      <c r="A48" t="s">
        <v>0</v>
      </c>
      <c r="B48" t="s">
        <v>14</v>
      </c>
      <c r="C48" t="s">
        <v>15</v>
      </c>
      <c r="D48">
        <v>7</v>
      </c>
      <c r="E48" t="s">
        <v>4</v>
      </c>
      <c r="F48" t="s">
        <v>16</v>
      </c>
      <c r="G48" t="s">
        <v>263</v>
      </c>
      <c r="K48">
        <v>46</v>
      </c>
      <c r="L48" s="2">
        <v>102905.60000000001</v>
      </c>
      <c r="M48" s="2">
        <v>197216</v>
      </c>
      <c r="N48">
        <v>95</v>
      </c>
      <c r="O48">
        <v>12</v>
      </c>
      <c r="P48">
        <v>182</v>
      </c>
      <c r="Q48">
        <v>23</v>
      </c>
    </row>
    <row r="49" spans="1:17" x14ac:dyDescent="0.25">
      <c r="A49" t="s">
        <v>0</v>
      </c>
      <c r="B49" t="s">
        <v>1</v>
      </c>
      <c r="C49" t="s">
        <v>3</v>
      </c>
      <c r="D49" t="s">
        <v>4</v>
      </c>
      <c r="E49" t="s">
        <v>5</v>
      </c>
      <c r="F49" t="s">
        <v>264</v>
      </c>
      <c r="G49" t="s">
        <v>7</v>
      </c>
      <c r="H49" t="s">
        <v>265</v>
      </c>
      <c r="K49">
        <v>47</v>
      </c>
      <c r="L49" s="2">
        <v>249286.39999999999</v>
      </c>
      <c r="M49" s="2">
        <v>51091.199999999997</v>
      </c>
      <c r="N49">
        <v>232</v>
      </c>
      <c r="O49">
        <v>29</v>
      </c>
      <c r="P49">
        <v>47</v>
      </c>
      <c r="Q49">
        <v>6</v>
      </c>
    </row>
    <row r="50" spans="1:17" x14ac:dyDescent="0.25">
      <c r="A50" t="s">
        <v>0</v>
      </c>
      <c r="B50" t="s">
        <v>211</v>
      </c>
      <c r="C50" t="s">
        <v>215</v>
      </c>
      <c r="D50">
        <v>166</v>
      </c>
      <c r="E50" t="s">
        <v>212</v>
      </c>
      <c r="F50" t="s">
        <v>216</v>
      </c>
      <c r="G50">
        <v>21</v>
      </c>
      <c r="K50">
        <v>48</v>
      </c>
      <c r="L50" s="2">
        <v>110483.2</v>
      </c>
      <c r="M50" s="2">
        <v>230956.79999999999</v>
      </c>
      <c r="N50">
        <v>103</v>
      </c>
      <c r="O50">
        <v>13</v>
      </c>
      <c r="P50">
        <v>214</v>
      </c>
      <c r="Q50">
        <v>27</v>
      </c>
    </row>
    <row r="51" spans="1:17" x14ac:dyDescent="0.25">
      <c r="A51" t="s">
        <v>0</v>
      </c>
      <c r="B51" t="s">
        <v>217</v>
      </c>
      <c r="C51" t="s">
        <v>218</v>
      </c>
      <c r="D51" t="s">
        <v>219</v>
      </c>
      <c r="E51">
        <v>0</v>
      </c>
      <c r="F51" t="s">
        <v>4</v>
      </c>
      <c r="G51" t="s">
        <v>16</v>
      </c>
      <c r="H51" t="s">
        <v>266</v>
      </c>
      <c r="K51">
        <v>49</v>
      </c>
      <c r="L51" s="2">
        <v>241606.39999999999</v>
      </c>
      <c r="M51" s="2">
        <v>164243.20000000001</v>
      </c>
      <c r="N51">
        <v>224</v>
      </c>
      <c r="O51">
        <v>28</v>
      </c>
      <c r="P51">
        <v>151</v>
      </c>
      <c r="Q51">
        <v>19</v>
      </c>
    </row>
    <row r="52" spans="1:17" x14ac:dyDescent="0.25">
      <c r="A52" t="s">
        <v>0</v>
      </c>
      <c r="B52" t="s">
        <v>1</v>
      </c>
      <c r="C52" t="s">
        <v>3</v>
      </c>
      <c r="D52" t="s">
        <v>4</v>
      </c>
      <c r="E52" t="s">
        <v>5</v>
      </c>
      <c r="F52" t="s">
        <v>267</v>
      </c>
      <c r="G52" t="s">
        <v>7</v>
      </c>
      <c r="H52" t="s">
        <v>268</v>
      </c>
      <c r="K52">
        <v>50</v>
      </c>
      <c r="L52" s="2">
        <v>148064</v>
      </c>
      <c r="M52" s="2">
        <v>67219.199999999997</v>
      </c>
      <c r="N52">
        <v>135</v>
      </c>
      <c r="O52">
        <v>17</v>
      </c>
      <c r="P52">
        <v>62</v>
      </c>
      <c r="Q52">
        <v>8</v>
      </c>
    </row>
    <row r="53" spans="1:17" x14ac:dyDescent="0.25">
      <c r="A53" t="s">
        <v>0</v>
      </c>
      <c r="B53" t="s">
        <v>211</v>
      </c>
      <c r="C53" t="s">
        <v>215</v>
      </c>
      <c r="D53">
        <v>214</v>
      </c>
      <c r="E53" t="s">
        <v>212</v>
      </c>
      <c r="F53" t="s">
        <v>216</v>
      </c>
      <c r="G53">
        <v>27</v>
      </c>
      <c r="K53">
        <v>51</v>
      </c>
      <c r="L53" s="2">
        <v>8595.2000000000007</v>
      </c>
      <c r="M53" s="2">
        <v>230137.60000000001</v>
      </c>
      <c r="N53">
        <v>6</v>
      </c>
      <c r="O53">
        <v>1</v>
      </c>
      <c r="P53">
        <v>215</v>
      </c>
      <c r="Q53">
        <v>27</v>
      </c>
    </row>
    <row r="54" spans="1:17" x14ac:dyDescent="0.25">
      <c r="A54" t="s">
        <v>0</v>
      </c>
      <c r="B54" t="s">
        <v>14</v>
      </c>
      <c r="C54" t="s">
        <v>15</v>
      </c>
      <c r="D54">
        <v>8</v>
      </c>
      <c r="E54" t="s">
        <v>4</v>
      </c>
      <c r="F54" t="s">
        <v>16</v>
      </c>
      <c r="G54" t="s">
        <v>269</v>
      </c>
      <c r="K54">
        <v>52</v>
      </c>
      <c r="L54" s="2">
        <v>61075.199999999997</v>
      </c>
      <c r="M54" s="2">
        <v>63276.800000000003</v>
      </c>
      <c r="N54">
        <v>55</v>
      </c>
      <c r="O54">
        <v>7</v>
      </c>
      <c r="P54">
        <v>56</v>
      </c>
      <c r="Q54">
        <v>7</v>
      </c>
    </row>
    <row r="55" spans="1:17" x14ac:dyDescent="0.25">
      <c r="A55" t="s">
        <v>0</v>
      </c>
      <c r="B55" t="s">
        <v>1</v>
      </c>
      <c r="C55" t="s">
        <v>3</v>
      </c>
      <c r="D55" t="s">
        <v>4</v>
      </c>
      <c r="E55" t="s">
        <v>5</v>
      </c>
      <c r="F55" t="s">
        <v>270</v>
      </c>
      <c r="G55" t="s">
        <v>7</v>
      </c>
      <c r="H55" t="s">
        <v>271</v>
      </c>
      <c r="K55">
        <v>53</v>
      </c>
      <c r="L55" s="2">
        <v>1836.8</v>
      </c>
      <c r="M55" s="2">
        <v>94969.600000000006</v>
      </c>
      <c r="N55">
        <v>0</v>
      </c>
      <c r="O55">
        <v>0</v>
      </c>
      <c r="P55">
        <v>87</v>
      </c>
      <c r="Q55">
        <v>11</v>
      </c>
    </row>
    <row r="56" spans="1:17" x14ac:dyDescent="0.25">
      <c r="A56" t="s">
        <v>0</v>
      </c>
      <c r="B56" t="s">
        <v>211</v>
      </c>
      <c r="C56" t="s">
        <v>215</v>
      </c>
      <c r="D56">
        <v>23</v>
      </c>
      <c r="E56" t="s">
        <v>212</v>
      </c>
      <c r="F56" t="s">
        <v>216</v>
      </c>
      <c r="G56">
        <v>3</v>
      </c>
      <c r="K56">
        <v>54</v>
      </c>
      <c r="L56" s="2">
        <v>216211.20000000001</v>
      </c>
      <c r="M56" s="2">
        <v>67526.399999999994</v>
      </c>
      <c r="N56">
        <v>199</v>
      </c>
      <c r="O56">
        <v>25</v>
      </c>
      <c r="P56">
        <v>62</v>
      </c>
      <c r="Q56">
        <v>8</v>
      </c>
    </row>
    <row r="57" spans="1:17" x14ac:dyDescent="0.25">
      <c r="A57" t="s">
        <v>0</v>
      </c>
      <c r="B57" t="s">
        <v>217</v>
      </c>
      <c r="C57" t="s">
        <v>218</v>
      </c>
      <c r="D57" t="s">
        <v>219</v>
      </c>
      <c r="E57">
        <v>0</v>
      </c>
      <c r="F57" t="s">
        <v>4</v>
      </c>
      <c r="G57" t="s">
        <v>16</v>
      </c>
      <c r="H57" t="s">
        <v>272</v>
      </c>
      <c r="K57">
        <v>55</v>
      </c>
      <c r="L57" s="2">
        <v>112838.39999999999</v>
      </c>
      <c r="M57" s="2">
        <v>34809.599999999999</v>
      </c>
      <c r="N57">
        <v>104</v>
      </c>
      <c r="O57">
        <v>13</v>
      </c>
      <c r="P57">
        <v>31</v>
      </c>
      <c r="Q57">
        <v>4</v>
      </c>
    </row>
    <row r="58" spans="1:17" x14ac:dyDescent="0.25">
      <c r="A58" t="s">
        <v>0</v>
      </c>
      <c r="B58" t="s">
        <v>1</v>
      </c>
      <c r="C58" t="s">
        <v>3</v>
      </c>
      <c r="D58" t="s">
        <v>4</v>
      </c>
      <c r="E58" t="s">
        <v>5</v>
      </c>
      <c r="F58" t="s">
        <v>273</v>
      </c>
      <c r="G58" t="s">
        <v>7</v>
      </c>
      <c r="H58" t="s">
        <v>274</v>
      </c>
      <c r="K58">
        <v>56</v>
      </c>
      <c r="L58" s="2">
        <v>1836.8</v>
      </c>
      <c r="M58" s="2">
        <v>3731.2</v>
      </c>
      <c r="N58">
        <v>0</v>
      </c>
      <c r="O58">
        <v>0</v>
      </c>
      <c r="P58">
        <v>2</v>
      </c>
      <c r="Q58">
        <v>0</v>
      </c>
    </row>
    <row r="59" spans="1:17" x14ac:dyDescent="0.25">
      <c r="A59" t="s">
        <v>0</v>
      </c>
      <c r="B59" t="s">
        <v>211</v>
      </c>
      <c r="C59" t="s">
        <v>215</v>
      </c>
      <c r="D59">
        <v>169</v>
      </c>
      <c r="E59" t="s">
        <v>212</v>
      </c>
      <c r="F59" t="s">
        <v>216</v>
      </c>
      <c r="G59">
        <v>21</v>
      </c>
      <c r="K59">
        <v>57</v>
      </c>
      <c r="L59" s="2">
        <v>243756.79999999999</v>
      </c>
      <c r="M59" s="2">
        <v>47456</v>
      </c>
      <c r="N59">
        <v>224</v>
      </c>
      <c r="O59">
        <v>28</v>
      </c>
      <c r="P59">
        <v>43</v>
      </c>
      <c r="Q59">
        <v>5</v>
      </c>
    </row>
    <row r="60" spans="1:17" x14ac:dyDescent="0.25">
      <c r="A60" t="s">
        <v>0</v>
      </c>
      <c r="B60" t="s">
        <v>14</v>
      </c>
      <c r="C60" t="s">
        <v>15</v>
      </c>
      <c r="D60">
        <v>9</v>
      </c>
      <c r="E60" t="s">
        <v>4</v>
      </c>
      <c r="F60" t="s">
        <v>16</v>
      </c>
      <c r="G60" t="s">
        <v>275</v>
      </c>
      <c r="K60">
        <v>58</v>
      </c>
      <c r="L60" s="2">
        <v>27180.799999999999</v>
      </c>
      <c r="M60" s="2">
        <v>103417.60000000001</v>
      </c>
      <c r="N60">
        <v>23</v>
      </c>
      <c r="O60">
        <v>3</v>
      </c>
      <c r="P60">
        <v>94</v>
      </c>
      <c r="Q60">
        <v>12</v>
      </c>
    </row>
    <row r="61" spans="1:17" x14ac:dyDescent="0.25">
      <c r="A61" t="s">
        <v>0</v>
      </c>
      <c r="B61" t="s">
        <v>1</v>
      </c>
      <c r="C61" t="s">
        <v>3</v>
      </c>
      <c r="D61" t="s">
        <v>4</v>
      </c>
      <c r="E61" t="s">
        <v>5</v>
      </c>
      <c r="F61" t="s">
        <v>276</v>
      </c>
      <c r="G61" t="s">
        <v>7</v>
      </c>
      <c r="H61" t="s">
        <v>222</v>
      </c>
      <c r="K61">
        <v>59</v>
      </c>
      <c r="L61" s="2">
        <v>27129.599999999999</v>
      </c>
      <c r="M61" s="2">
        <v>52780.800000000003</v>
      </c>
      <c r="N61">
        <v>24</v>
      </c>
      <c r="O61">
        <v>3</v>
      </c>
      <c r="P61">
        <v>47</v>
      </c>
      <c r="Q61">
        <v>6</v>
      </c>
    </row>
    <row r="62" spans="1:17" x14ac:dyDescent="0.25">
      <c r="A62" t="s">
        <v>0</v>
      </c>
      <c r="B62" t="s">
        <v>211</v>
      </c>
      <c r="C62" t="s">
        <v>215</v>
      </c>
      <c r="D62">
        <v>86</v>
      </c>
      <c r="E62" t="s">
        <v>212</v>
      </c>
      <c r="F62" t="s">
        <v>216</v>
      </c>
      <c r="G62">
        <v>11</v>
      </c>
      <c r="K62">
        <v>60</v>
      </c>
      <c r="L62" s="2">
        <v>60768</v>
      </c>
      <c r="M62" s="2">
        <v>42796.800000000003</v>
      </c>
      <c r="N62">
        <v>55</v>
      </c>
      <c r="O62">
        <v>7</v>
      </c>
      <c r="P62">
        <v>38</v>
      </c>
      <c r="Q62">
        <v>5</v>
      </c>
    </row>
    <row r="63" spans="1:17" x14ac:dyDescent="0.25">
      <c r="A63" t="s">
        <v>0</v>
      </c>
      <c r="B63" t="s">
        <v>217</v>
      </c>
      <c r="C63" t="s">
        <v>218</v>
      </c>
      <c r="D63" t="s">
        <v>219</v>
      </c>
      <c r="E63">
        <v>0</v>
      </c>
      <c r="F63" t="s">
        <v>4</v>
      </c>
      <c r="G63" t="s">
        <v>16</v>
      </c>
      <c r="H63" t="s">
        <v>277</v>
      </c>
      <c r="K63">
        <v>61</v>
      </c>
      <c r="L63" s="2">
        <v>147654.39999999999</v>
      </c>
      <c r="M63" s="2">
        <v>9516.7999999999993</v>
      </c>
      <c r="N63">
        <v>136</v>
      </c>
      <c r="O63">
        <v>17</v>
      </c>
      <c r="P63">
        <v>7</v>
      </c>
      <c r="Q63">
        <v>1</v>
      </c>
    </row>
    <row r="64" spans="1:17" x14ac:dyDescent="0.25">
      <c r="A64" t="s">
        <v>0</v>
      </c>
      <c r="B64" t="s">
        <v>1</v>
      </c>
      <c r="C64" t="s">
        <v>3</v>
      </c>
      <c r="D64" t="s">
        <v>4</v>
      </c>
      <c r="E64" t="s">
        <v>5</v>
      </c>
      <c r="F64" t="s">
        <v>278</v>
      </c>
      <c r="G64" t="s">
        <v>7</v>
      </c>
      <c r="H64" t="s">
        <v>145</v>
      </c>
      <c r="K64">
        <v>62</v>
      </c>
      <c r="L64" s="2">
        <v>77971.199999999997</v>
      </c>
      <c r="M64" s="2">
        <v>127379.2</v>
      </c>
      <c r="N64">
        <v>71</v>
      </c>
      <c r="O64">
        <v>9</v>
      </c>
      <c r="P64">
        <v>118</v>
      </c>
      <c r="Q64">
        <v>15</v>
      </c>
    </row>
    <row r="65" spans="1:17" x14ac:dyDescent="0.25">
      <c r="A65" t="s">
        <v>0</v>
      </c>
      <c r="B65" t="s">
        <v>211</v>
      </c>
      <c r="C65" t="s">
        <v>215</v>
      </c>
      <c r="D65">
        <v>0</v>
      </c>
      <c r="E65" t="s">
        <v>212</v>
      </c>
      <c r="F65" t="s">
        <v>216</v>
      </c>
      <c r="G65">
        <v>0</v>
      </c>
      <c r="K65">
        <v>63</v>
      </c>
      <c r="L65" s="2">
        <v>216364.79999999999</v>
      </c>
      <c r="M65" s="2">
        <v>60665.599999999999</v>
      </c>
      <c r="N65">
        <v>200</v>
      </c>
      <c r="O65">
        <v>25</v>
      </c>
      <c r="P65">
        <v>55</v>
      </c>
      <c r="Q65">
        <v>7</v>
      </c>
    </row>
    <row r="66" spans="1:17" x14ac:dyDescent="0.25">
      <c r="A66" t="s">
        <v>0</v>
      </c>
      <c r="B66" t="s">
        <v>14</v>
      </c>
      <c r="C66" t="s">
        <v>15</v>
      </c>
      <c r="D66">
        <v>10</v>
      </c>
      <c r="E66" t="s">
        <v>4</v>
      </c>
      <c r="F66" t="s">
        <v>16</v>
      </c>
      <c r="G66" t="s">
        <v>279</v>
      </c>
      <c r="K66">
        <v>64</v>
      </c>
      <c r="L66" s="2">
        <v>215033.60000000001</v>
      </c>
      <c r="M66" s="2">
        <v>33580.800000000003</v>
      </c>
      <c r="N66">
        <v>199</v>
      </c>
      <c r="O66">
        <v>25</v>
      </c>
      <c r="P66">
        <v>30</v>
      </c>
      <c r="Q66">
        <v>4</v>
      </c>
    </row>
    <row r="67" spans="1:17" x14ac:dyDescent="0.25">
      <c r="A67" t="s">
        <v>0</v>
      </c>
      <c r="B67" t="s">
        <v>1</v>
      </c>
      <c r="C67" t="s">
        <v>3</v>
      </c>
      <c r="D67" t="s">
        <v>4</v>
      </c>
      <c r="E67" t="s">
        <v>5</v>
      </c>
      <c r="F67" t="s">
        <v>280</v>
      </c>
      <c r="G67" t="s">
        <v>7</v>
      </c>
      <c r="H67" t="s">
        <v>281</v>
      </c>
    </row>
    <row r="68" spans="1:17" x14ac:dyDescent="0.25">
      <c r="A68" t="s">
        <v>0</v>
      </c>
      <c r="B68" t="s">
        <v>211</v>
      </c>
      <c r="C68" t="s">
        <v>215</v>
      </c>
      <c r="D68">
        <v>53</v>
      </c>
      <c r="E68" t="s">
        <v>212</v>
      </c>
      <c r="F68" t="s">
        <v>216</v>
      </c>
      <c r="G68">
        <v>7</v>
      </c>
    </row>
    <row r="69" spans="1:17" x14ac:dyDescent="0.25">
      <c r="A69" t="s">
        <v>0</v>
      </c>
      <c r="B69" t="s">
        <v>217</v>
      </c>
      <c r="C69" t="s">
        <v>218</v>
      </c>
      <c r="D69" t="s">
        <v>219</v>
      </c>
      <c r="E69">
        <v>0</v>
      </c>
      <c r="F69" t="s">
        <v>4</v>
      </c>
      <c r="G69" t="s">
        <v>16</v>
      </c>
      <c r="H69" t="s">
        <v>282</v>
      </c>
    </row>
    <row r="70" spans="1:17" x14ac:dyDescent="0.25">
      <c r="A70" t="s">
        <v>0</v>
      </c>
      <c r="B70" t="s">
        <v>1</v>
      </c>
      <c r="C70" t="s">
        <v>3</v>
      </c>
      <c r="D70" t="s">
        <v>4</v>
      </c>
      <c r="E70" t="s">
        <v>5</v>
      </c>
      <c r="F70" t="s">
        <v>283</v>
      </c>
      <c r="G70" t="s">
        <v>7</v>
      </c>
      <c r="H70" t="s">
        <v>284</v>
      </c>
    </row>
    <row r="71" spans="1:17" x14ac:dyDescent="0.25">
      <c r="A71" t="s">
        <v>0</v>
      </c>
      <c r="B71" t="s">
        <v>211</v>
      </c>
      <c r="C71" t="s">
        <v>215</v>
      </c>
      <c r="D71">
        <v>95</v>
      </c>
      <c r="E71" t="s">
        <v>212</v>
      </c>
      <c r="F71" t="s">
        <v>216</v>
      </c>
      <c r="G71">
        <v>12</v>
      </c>
    </row>
    <row r="72" spans="1:17" x14ac:dyDescent="0.25">
      <c r="A72" t="s">
        <v>0</v>
      </c>
      <c r="B72" t="s">
        <v>14</v>
      </c>
      <c r="C72" t="s">
        <v>15</v>
      </c>
      <c r="D72">
        <v>11</v>
      </c>
      <c r="E72" t="s">
        <v>4</v>
      </c>
      <c r="F72" t="s">
        <v>16</v>
      </c>
      <c r="G72" t="s">
        <v>285</v>
      </c>
    </row>
    <row r="73" spans="1:17" x14ac:dyDescent="0.25">
      <c r="A73" t="s">
        <v>0</v>
      </c>
      <c r="B73" t="s">
        <v>1</v>
      </c>
      <c r="C73" t="s">
        <v>3</v>
      </c>
      <c r="D73" t="s">
        <v>4</v>
      </c>
      <c r="E73" t="s">
        <v>5</v>
      </c>
      <c r="F73" t="s">
        <v>286</v>
      </c>
      <c r="G73" t="s">
        <v>7</v>
      </c>
      <c r="H73" t="s">
        <v>287</v>
      </c>
    </row>
    <row r="74" spans="1:17" x14ac:dyDescent="0.25">
      <c r="A74" t="s">
        <v>0</v>
      </c>
      <c r="B74" t="s">
        <v>211</v>
      </c>
      <c r="C74" t="s">
        <v>215</v>
      </c>
      <c r="D74">
        <v>232</v>
      </c>
      <c r="E74" t="s">
        <v>212</v>
      </c>
      <c r="F74" t="s">
        <v>216</v>
      </c>
      <c r="G74">
        <v>29</v>
      </c>
    </row>
    <row r="75" spans="1:17" x14ac:dyDescent="0.25">
      <c r="A75" t="s">
        <v>0</v>
      </c>
      <c r="B75" t="s">
        <v>217</v>
      </c>
      <c r="C75" t="s">
        <v>218</v>
      </c>
      <c r="D75" t="s">
        <v>219</v>
      </c>
      <c r="E75">
        <v>0</v>
      </c>
      <c r="F75" t="s">
        <v>4</v>
      </c>
      <c r="G75" t="s">
        <v>16</v>
      </c>
      <c r="H75" t="s">
        <v>288</v>
      </c>
    </row>
    <row r="76" spans="1:17" x14ac:dyDescent="0.25">
      <c r="A76" t="s">
        <v>0</v>
      </c>
      <c r="B76" t="s">
        <v>1</v>
      </c>
      <c r="C76" t="s">
        <v>3</v>
      </c>
      <c r="D76" t="s">
        <v>4</v>
      </c>
      <c r="E76" t="s">
        <v>5</v>
      </c>
      <c r="F76" t="s">
        <v>289</v>
      </c>
      <c r="G76" t="s">
        <v>7</v>
      </c>
      <c r="H76" t="s">
        <v>290</v>
      </c>
    </row>
    <row r="77" spans="1:17" x14ac:dyDescent="0.25">
      <c r="A77" t="s">
        <v>0</v>
      </c>
      <c r="B77" t="s">
        <v>211</v>
      </c>
      <c r="C77" t="s">
        <v>215</v>
      </c>
      <c r="D77">
        <v>150</v>
      </c>
      <c r="E77" t="s">
        <v>212</v>
      </c>
      <c r="F77" t="s">
        <v>216</v>
      </c>
      <c r="G77">
        <v>19</v>
      </c>
    </row>
    <row r="78" spans="1:17" x14ac:dyDescent="0.25">
      <c r="A78" t="s">
        <v>0</v>
      </c>
      <c r="B78" t="s">
        <v>14</v>
      </c>
      <c r="C78" t="s">
        <v>15</v>
      </c>
      <c r="D78">
        <v>12</v>
      </c>
      <c r="E78" t="s">
        <v>4</v>
      </c>
      <c r="F78" t="s">
        <v>16</v>
      </c>
      <c r="G78" t="s">
        <v>291</v>
      </c>
    </row>
    <row r="79" spans="1:17" x14ac:dyDescent="0.25">
      <c r="A79" t="s">
        <v>0</v>
      </c>
      <c r="B79" t="s">
        <v>1</v>
      </c>
      <c r="C79" t="s">
        <v>3</v>
      </c>
      <c r="D79" t="s">
        <v>4</v>
      </c>
      <c r="E79" t="s">
        <v>5</v>
      </c>
      <c r="F79" t="s">
        <v>292</v>
      </c>
      <c r="G79" t="s">
        <v>7</v>
      </c>
      <c r="H79" t="s">
        <v>293</v>
      </c>
    </row>
    <row r="80" spans="1:17" x14ac:dyDescent="0.25">
      <c r="A80" t="s">
        <v>0</v>
      </c>
      <c r="B80" t="s">
        <v>211</v>
      </c>
      <c r="C80" t="s">
        <v>215</v>
      </c>
      <c r="D80">
        <v>103</v>
      </c>
      <c r="E80" t="s">
        <v>212</v>
      </c>
      <c r="F80" t="s">
        <v>216</v>
      </c>
      <c r="G80">
        <v>13</v>
      </c>
    </row>
    <row r="81" spans="1:8" x14ac:dyDescent="0.25">
      <c r="A81" t="s">
        <v>0</v>
      </c>
      <c r="B81" t="s">
        <v>217</v>
      </c>
      <c r="C81" t="s">
        <v>218</v>
      </c>
      <c r="D81" t="s">
        <v>219</v>
      </c>
      <c r="E81">
        <v>0</v>
      </c>
      <c r="F81" t="s">
        <v>4</v>
      </c>
      <c r="G81" t="s">
        <v>16</v>
      </c>
      <c r="H81" t="s">
        <v>294</v>
      </c>
    </row>
    <row r="82" spans="1:8" x14ac:dyDescent="0.25">
      <c r="A82" t="s">
        <v>0</v>
      </c>
      <c r="B82" t="s">
        <v>1</v>
      </c>
      <c r="C82" t="s">
        <v>3</v>
      </c>
      <c r="D82" t="s">
        <v>4</v>
      </c>
      <c r="E82" t="s">
        <v>5</v>
      </c>
      <c r="F82" t="s">
        <v>295</v>
      </c>
      <c r="G82" t="s">
        <v>7</v>
      </c>
      <c r="H82" t="s">
        <v>296</v>
      </c>
    </row>
    <row r="83" spans="1:8" x14ac:dyDescent="0.25">
      <c r="A83" t="s">
        <v>0</v>
      </c>
      <c r="B83" t="s">
        <v>211</v>
      </c>
      <c r="C83" t="s">
        <v>215</v>
      </c>
      <c r="D83">
        <v>97</v>
      </c>
      <c r="E83" t="s">
        <v>212</v>
      </c>
      <c r="F83" t="s">
        <v>216</v>
      </c>
      <c r="G83">
        <v>12</v>
      </c>
    </row>
    <row r="84" spans="1:8" x14ac:dyDescent="0.25">
      <c r="A84" t="s">
        <v>0</v>
      </c>
      <c r="B84" t="s">
        <v>14</v>
      </c>
      <c r="C84" t="s">
        <v>15</v>
      </c>
      <c r="D84">
        <v>13</v>
      </c>
      <c r="E84" t="s">
        <v>4</v>
      </c>
      <c r="F84" t="s">
        <v>16</v>
      </c>
      <c r="G84" t="s">
        <v>297</v>
      </c>
    </row>
    <row r="85" spans="1:8" x14ac:dyDescent="0.25">
      <c r="A85" t="s">
        <v>0</v>
      </c>
      <c r="B85" t="s">
        <v>1</v>
      </c>
      <c r="C85" t="s">
        <v>3</v>
      </c>
      <c r="D85" t="s">
        <v>4</v>
      </c>
      <c r="E85" t="s">
        <v>5</v>
      </c>
      <c r="F85" t="s">
        <v>298</v>
      </c>
      <c r="G85" t="s">
        <v>7</v>
      </c>
      <c r="H85" t="s">
        <v>299</v>
      </c>
    </row>
    <row r="86" spans="1:8" x14ac:dyDescent="0.25">
      <c r="A86" t="s">
        <v>0</v>
      </c>
      <c r="B86" t="s">
        <v>211</v>
      </c>
      <c r="C86" t="s">
        <v>215</v>
      </c>
      <c r="D86">
        <v>46</v>
      </c>
      <c r="E86" t="s">
        <v>212</v>
      </c>
      <c r="F86" t="s">
        <v>216</v>
      </c>
      <c r="G86">
        <v>6</v>
      </c>
    </row>
    <row r="87" spans="1:8" x14ac:dyDescent="0.25">
      <c r="A87" t="s">
        <v>0</v>
      </c>
      <c r="B87" t="s">
        <v>217</v>
      </c>
      <c r="C87" t="s">
        <v>218</v>
      </c>
      <c r="D87" t="s">
        <v>219</v>
      </c>
      <c r="E87">
        <v>0</v>
      </c>
      <c r="F87" t="s">
        <v>4</v>
      </c>
      <c r="G87" t="s">
        <v>16</v>
      </c>
      <c r="H87" t="s">
        <v>300</v>
      </c>
    </row>
    <row r="88" spans="1:8" x14ac:dyDescent="0.25">
      <c r="A88" t="s">
        <v>0</v>
      </c>
      <c r="B88" t="s">
        <v>1</v>
      </c>
      <c r="C88" t="s">
        <v>3</v>
      </c>
      <c r="D88" t="s">
        <v>4</v>
      </c>
      <c r="E88" t="s">
        <v>5</v>
      </c>
      <c r="F88" t="s">
        <v>301</v>
      </c>
      <c r="G88" t="s">
        <v>7</v>
      </c>
      <c r="H88" t="s">
        <v>302</v>
      </c>
    </row>
    <row r="89" spans="1:8" x14ac:dyDescent="0.25">
      <c r="A89" t="s">
        <v>0</v>
      </c>
      <c r="B89" t="s">
        <v>211</v>
      </c>
      <c r="C89" t="s">
        <v>215</v>
      </c>
      <c r="D89">
        <v>110</v>
      </c>
      <c r="E89" t="s">
        <v>212</v>
      </c>
      <c r="F89" t="s">
        <v>216</v>
      </c>
      <c r="G89">
        <v>14</v>
      </c>
    </row>
    <row r="90" spans="1:8" x14ac:dyDescent="0.25">
      <c r="A90" t="s">
        <v>0</v>
      </c>
      <c r="B90" t="s">
        <v>14</v>
      </c>
      <c r="C90" t="s">
        <v>15</v>
      </c>
      <c r="D90">
        <v>14</v>
      </c>
      <c r="E90" t="s">
        <v>4</v>
      </c>
      <c r="F90" t="s">
        <v>16</v>
      </c>
      <c r="G90" t="s">
        <v>303</v>
      </c>
    </row>
    <row r="91" spans="1:8" x14ac:dyDescent="0.25">
      <c r="A91" t="s">
        <v>0</v>
      </c>
      <c r="B91" t="s">
        <v>1</v>
      </c>
      <c r="C91" t="s">
        <v>3</v>
      </c>
      <c r="D91" t="s">
        <v>4</v>
      </c>
      <c r="E91" t="s">
        <v>5</v>
      </c>
      <c r="F91" t="s">
        <v>304</v>
      </c>
      <c r="G91" t="s">
        <v>7</v>
      </c>
      <c r="H91" t="s">
        <v>305</v>
      </c>
    </row>
    <row r="92" spans="1:8" x14ac:dyDescent="0.25">
      <c r="A92" t="s">
        <v>0</v>
      </c>
      <c r="B92" t="s">
        <v>211</v>
      </c>
      <c r="C92" t="s">
        <v>215</v>
      </c>
      <c r="D92">
        <v>71</v>
      </c>
      <c r="E92" t="s">
        <v>212</v>
      </c>
      <c r="F92" t="s">
        <v>216</v>
      </c>
      <c r="G92">
        <v>9</v>
      </c>
    </row>
    <row r="93" spans="1:8" x14ac:dyDescent="0.25">
      <c r="A93" t="s">
        <v>0</v>
      </c>
      <c r="B93" t="s">
        <v>217</v>
      </c>
      <c r="C93" t="s">
        <v>218</v>
      </c>
      <c r="D93" t="s">
        <v>219</v>
      </c>
      <c r="E93">
        <v>0</v>
      </c>
      <c r="F93" t="s">
        <v>4</v>
      </c>
      <c r="G93" t="s">
        <v>16</v>
      </c>
      <c r="H93" t="s">
        <v>306</v>
      </c>
    </row>
    <row r="94" spans="1:8" x14ac:dyDescent="0.25">
      <c r="A94" t="s">
        <v>0</v>
      </c>
      <c r="B94" t="s">
        <v>1</v>
      </c>
      <c r="C94" t="s">
        <v>3</v>
      </c>
      <c r="D94" t="s">
        <v>4</v>
      </c>
      <c r="E94" t="s">
        <v>5</v>
      </c>
      <c r="F94" t="s">
        <v>307</v>
      </c>
      <c r="G94" t="s">
        <v>7</v>
      </c>
      <c r="H94" t="s">
        <v>308</v>
      </c>
    </row>
    <row r="95" spans="1:8" x14ac:dyDescent="0.25">
      <c r="A95" t="s">
        <v>0</v>
      </c>
      <c r="B95" t="s">
        <v>211</v>
      </c>
      <c r="C95" t="s">
        <v>215</v>
      </c>
      <c r="D95">
        <v>167</v>
      </c>
      <c r="E95" t="s">
        <v>212</v>
      </c>
      <c r="F95" t="s">
        <v>216</v>
      </c>
      <c r="G95">
        <v>21</v>
      </c>
    </row>
    <row r="96" spans="1:8" x14ac:dyDescent="0.25">
      <c r="A96" t="s">
        <v>0</v>
      </c>
      <c r="B96" t="s">
        <v>14</v>
      </c>
      <c r="C96" t="s">
        <v>15</v>
      </c>
      <c r="D96">
        <v>15</v>
      </c>
      <c r="E96" t="s">
        <v>4</v>
      </c>
      <c r="F96" t="s">
        <v>16</v>
      </c>
      <c r="G96" t="s">
        <v>309</v>
      </c>
    </row>
    <row r="97" spans="1:8" x14ac:dyDescent="0.25">
      <c r="A97" t="s">
        <v>0</v>
      </c>
      <c r="B97" t="s">
        <v>1</v>
      </c>
      <c r="C97" t="s">
        <v>3</v>
      </c>
      <c r="D97" t="s">
        <v>4</v>
      </c>
      <c r="E97" t="s">
        <v>5</v>
      </c>
      <c r="F97" t="s">
        <v>310</v>
      </c>
      <c r="G97" t="s">
        <v>7</v>
      </c>
      <c r="H97" t="s">
        <v>311</v>
      </c>
    </row>
    <row r="98" spans="1:8" x14ac:dyDescent="0.25">
      <c r="A98" t="s">
        <v>0</v>
      </c>
      <c r="B98" t="s">
        <v>211</v>
      </c>
      <c r="C98" t="s">
        <v>215</v>
      </c>
      <c r="D98">
        <v>136</v>
      </c>
      <c r="E98" t="s">
        <v>212</v>
      </c>
      <c r="F98" t="s">
        <v>216</v>
      </c>
      <c r="G98">
        <v>17</v>
      </c>
    </row>
    <row r="99" spans="1:8" x14ac:dyDescent="0.25">
      <c r="A99" t="s">
        <v>0</v>
      </c>
      <c r="B99" t="s">
        <v>217</v>
      </c>
      <c r="C99" t="s">
        <v>218</v>
      </c>
      <c r="D99" t="s">
        <v>219</v>
      </c>
      <c r="E99">
        <v>0</v>
      </c>
      <c r="F99" t="s">
        <v>4</v>
      </c>
      <c r="G99" t="s">
        <v>16</v>
      </c>
      <c r="H99" t="s">
        <v>312</v>
      </c>
    </row>
    <row r="100" spans="1:8" x14ac:dyDescent="0.25">
      <c r="A100" t="s">
        <v>0</v>
      </c>
      <c r="B100" t="s">
        <v>1</v>
      </c>
      <c r="C100" t="s">
        <v>3</v>
      </c>
      <c r="D100" t="s">
        <v>4</v>
      </c>
      <c r="E100" t="s">
        <v>5</v>
      </c>
      <c r="F100" t="s">
        <v>313</v>
      </c>
      <c r="G100" t="s">
        <v>7</v>
      </c>
      <c r="H100" t="s">
        <v>314</v>
      </c>
    </row>
    <row r="101" spans="1:8" x14ac:dyDescent="0.25">
      <c r="A101" t="s">
        <v>0</v>
      </c>
      <c r="B101" t="s">
        <v>211</v>
      </c>
      <c r="C101" t="s">
        <v>215</v>
      </c>
      <c r="D101">
        <v>166</v>
      </c>
      <c r="E101" t="s">
        <v>212</v>
      </c>
      <c r="F101" t="s">
        <v>216</v>
      </c>
      <c r="G101">
        <v>21</v>
      </c>
    </row>
    <row r="102" spans="1:8" x14ac:dyDescent="0.25">
      <c r="A102" t="s">
        <v>0</v>
      </c>
      <c r="B102" t="s">
        <v>14</v>
      </c>
      <c r="C102" t="s">
        <v>15</v>
      </c>
      <c r="D102">
        <v>16</v>
      </c>
      <c r="E102" t="s">
        <v>4</v>
      </c>
      <c r="F102" t="s">
        <v>16</v>
      </c>
      <c r="G102" t="s">
        <v>315</v>
      </c>
    </row>
    <row r="103" spans="1:8" x14ac:dyDescent="0.25">
      <c r="A103" t="s">
        <v>0</v>
      </c>
      <c r="B103" t="s">
        <v>1</v>
      </c>
      <c r="C103" t="s">
        <v>3</v>
      </c>
      <c r="D103" t="s">
        <v>4</v>
      </c>
      <c r="E103" t="s">
        <v>5</v>
      </c>
      <c r="F103" t="s">
        <v>316</v>
      </c>
      <c r="G103" t="s">
        <v>7</v>
      </c>
      <c r="H103" t="s">
        <v>317</v>
      </c>
    </row>
    <row r="104" spans="1:8" x14ac:dyDescent="0.25">
      <c r="A104" t="s">
        <v>0</v>
      </c>
      <c r="B104" t="s">
        <v>211</v>
      </c>
      <c r="C104" t="s">
        <v>215</v>
      </c>
      <c r="D104">
        <v>15</v>
      </c>
      <c r="E104" t="s">
        <v>212</v>
      </c>
      <c r="F104" t="s">
        <v>216</v>
      </c>
      <c r="G104">
        <v>2</v>
      </c>
    </row>
    <row r="105" spans="1:8" x14ac:dyDescent="0.25">
      <c r="A105" t="s">
        <v>0</v>
      </c>
      <c r="B105" t="s">
        <v>217</v>
      </c>
      <c r="C105" t="s">
        <v>218</v>
      </c>
      <c r="D105" t="s">
        <v>219</v>
      </c>
      <c r="E105">
        <v>0</v>
      </c>
      <c r="F105" t="s">
        <v>4</v>
      </c>
      <c r="G105" t="s">
        <v>16</v>
      </c>
      <c r="H105" t="s">
        <v>318</v>
      </c>
    </row>
    <row r="106" spans="1:8" x14ac:dyDescent="0.25">
      <c r="A106" t="s">
        <v>0</v>
      </c>
      <c r="B106" t="s">
        <v>1</v>
      </c>
      <c r="C106" t="s">
        <v>3</v>
      </c>
      <c r="D106" t="s">
        <v>4</v>
      </c>
      <c r="E106" t="s">
        <v>5</v>
      </c>
      <c r="F106" t="s">
        <v>319</v>
      </c>
      <c r="G106" t="s">
        <v>7</v>
      </c>
      <c r="H106" t="s">
        <v>320</v>
      </c>
    </row>
    <row r="107" spans="1:8" x14ac:dyDescent="0.25">
      <c r="A107" t="s">
        <v>0</v>
      </c>
      <c r="B107" t="s">
        <v>211</v>
      </c>
      <c r="C107" t="s">
        <v>215</v>
      </c>
      <c r="D107">
        <v>175</v>
      </c>
      <c r="E107" t="s">
        <v>212</v>
      </c>
      <c r="F107" t="s">
        <v>216</v>
      </c>
      <c r="G107">
        <v>22</v>
      </c>
    </row>
    <row r="108" spans="1:8" x14ac:dyDescent="0.25">
      <c r="A108" t="s">
        <v>0</v>
      </c>
      <c r="B108" t="s">
        <v>14</v>
      </c>
      <c r="C108" t="s">
        <v>15</v>
      </c>
      <c r="D108">
        <v>17</v>
      </c>
      <c r="E108" t="s">
        <v>4</v>
      </c>
      <c r="F108" t="s">
        <v>16</v>
      </c>
      <c r="G108" t="s">
        <v>321</v>
      </c>
    </row>
    <row r="109" spans="1:8" x14ac:dyDescent="0.25">
      <c r="A109" t="s">
        <v>0</v>
      </c>
      <c r="B109" t="s">
        <v>1</v>
      </c>
      <c r="C109" t="s">
        <v>3</v>
      </c>
      <c r="D109" t="s">
        <v>4</v>
      </c>
      <c r="E109" t="s">
        <v>5</v>
      </c>
      <c r="F109" t="s">
        <v>322</v>
      </c>
      <c r="G109" t="s">
        <v>7</v>
      </c>
      <c r="H109" t="s">
        <v>323</v>
      </c>
    </row>
    <row r="110" spans="1:8" x14ac:dyDescent="0.25">
      <c r="A110" t="s">
        <v>0</v>
      </c>
      <c r="B110" t="s">
        <v>211</v>
      </c>
      <c r="C110" t="s">
        <v>215</v>
      </c>
      <c r="D110">
        <v>64</v>
      </c>
      <c r="E110" t="s">
        <v>212</v>
      </c>
      <c r="F110" t="s">
        <v>216</v>
      </c>
      <c r="G110">
        <v>8</v>
      </c>
    </row>
    <row r="111" spans="1:8" x14ac:dyDescent="0.25">
      <c r="A111" t="s">
        <v>0</v>
      </c>
      <c r="B111" t="s">
        <v>217</v>
      </c>
      <c r="C111" t="s">
        <v>218</v>
      </c>
      <c r="D111" t="s">
        <v>219</v>
      </c>
      <c r="E111">
        <v>0</v>
      </c>
      <c r="F111" t="s">
        <v>4</v>
      </c>
      <c r="G111" t="s">
        <v>16</v>
      </c>
      <c r="H111" t="s">
        <v>324</v>
      </c>
    </row>
    <row r="112" spans="1:8" x14ac:dyDescent="0.25">
      <c r="A112" t="s">
        <v>0</v>
      </c>
      <c r="B112" t="s">
        <v>1</v>
      </c>
      <c r="C112" t="s">
        <v>3</v>
      </c>
      <c r="D112" t="s">
        <v>4</v>
      </c>
      <c r="E112" t="s">
        <v>5</v>
      </c>
      <c r="F112" t="s">
        <v>325</v>
      </c>
      <c r="G112" t="s">
        <v>7</v>
      </c>
      <c r="H112" t="s">
        <v>326</v>
      </c>
    </row>
    <row r="113" spans="1:8" x14ac:dyDescent="0.25">
      <c r="A113" t="s">
        <v>0</v>
      </c>
      <c r="B113" t="s">
        <v>211</v>
      </c>
      <c r="C113" t="s">
        <v>215</v>
      </c>
      <c r="D113">
        <v>158</v>
      </c>
      <c r="E113" t="s">
        <v>212</v>
      </c>
      <c r="F113" t="s">
        <v>216</v>
      </c>
      <c r="G113">
        <v>20</v>
      </c>
    </row>
    <row r="114" spans="1:8" x14ac:dyDescent="0.25">
      <c r="A114" t="s">
        <v>0</v>
      </c>
      <c r="B114" t="s">
        <v>14</v>
      </c>
      <c r="C114" t="s">
        <v>15</v>
      </c>
      <c r="D114">
        <v>18</v>
      </c>
      <c r="E114" t="s">
        <v>4</v>
      </c>
      <c r="F114" t="s">
        <v>16</v>
      </c>
      <c r="G114" t="s">
        <v>327</v>
      </c>
    </row>
    <row r="115" spans="1:8" x14ac:dyDescent="0.25">
      <c r="A115" t="s">
        <v>0</v>
      </c>
      <c r="B115" t="s">
        <v>1</v>
      </c>
      <c r="C115" t="s">
        <v>3</v>
      </c>
      <c r="D115" t="s">
        <v>4</v>
      </c>
      <c r="E115" t="s">
        <v>5</v>
      </c>
      <c r="F115" t="s">
        <v>328</v>
      </c>
      <c r="G115" t="s">
        <v>7</v>
      </c>
      <c r="H115" t="s">
        <v>329</v>
      </c>
    </row>
    <row r="116" spans="1:8" x14ac:dyDescent="0.25">
      <c r="A116" t="s">
        <v>0</v>
      </c>
      <c r="B116" t="s">
        <v>211</v>
      </c>
      <c r="C116" t="s">
        <v>215</v>
      </c>
      <c r="D116">
        <v>119</v>
      </c>
      <c r="E116" t="s">
        <v>212</v>
      </c>
      <c r="F116" t="s">
        <v>216</v>
      </c>
      <c r="G116">
        <v>15</v>
      </c>
    </row>
    <row r="117" spans="1:8" x14ac:dyDescent="0.25">
      <c r="A117" t="s">
        <v>0</v>
      </c>
      <c r="B117" t="s">
        <v>217</v>
      </c>
      <c r="C117" t="s">
        <v>218</v>
      </c>
      <c r="D117" t="s">
        <v>219</v>
      </c>
      <c r="E117">
        <v>0</v>
      </c>
      <c r="F117" t="s">
        <v>4</v>
      </c>
      <c r="G117" t="s">
        <v>16</v>
      </c>
      <c r="H117" t="s">
        <v>330</v>
      </c>
    </row>
    <row r="118" spans="1:8" x14ac:dyDescent="0.25">
      <c r="A118" t="s">
        <v>0</v>
      </c>
      <c r="B118" t="s">
        <v>1</v>
      </c>
      <c r="C118" t="s">
        <v>3</v>
      </c>
      <c r="D118" t="s">
        <v>4</v>
      </c>
      <c r="E118" t="s">
        <v>5</v>
      </c>
      <c r="F118" t="s">
        <v>331</v>
      </c>
      <c r="G118" t="s">
        <v>7</v>
      </c>
      <c r="H118" t="s">
        <v>332</v>
      </c>
    </row>
    <row r="119" spans="1:8" x14ac:dyDescent="0.25">
      <c r="A119" t="s">
        <v>0</v>
      </c>
      <c r="B119" t="s">
        <v>211</v>
      </c>
      <c r="C119" t="s">
        <v>215</v>
      </c>
      <c r="D119">
        <v>39</v>
      </c>
      <c r="E119" t="s">
        <v>212</v>
      </c>
      <c r="F119" t="s">
        <v>216</v>
      </c>
      <c r="G119">
        <v>5</v>
      </c>
    </row>
    <row r="120" spans="1:8" x14ac:dyDescent="0.25">
      <c r="A120" t="s">
        <v>0</v>
      </c>
      <c r="B120" t="s">
        <v>14</v>
      </c>
      <c r="C120" t="s">
        <v>15</v>
      </c>
      <c r="D120">
        <v>19</v>
      </c>
      <c r="E120" t="s">
        <v>4</v>
      </c>
      <c r="F120" t="s">
        <v>16</v>
      </c>
      <c r="G120" t="s">
        <v>333</v>
      </c>
    </row>
    <row r="121" spans="1:8" x14ac:dyDescent="0.25">
      <c r="A121" t="s">
        <v>0</v>
      </c>
      <c r="B121" t="s">
        <v>1</v>
      </c>
      <c r="C121" t="s">
        <v>3</v>
      </c>
      <c r="D121" t="s">
        <v>4</v>
      </c>
      <c r="E121" t="s">
        <v>5</v>
      </c>
      <c r="F121" t="s">
        <v>334</v>
      </c>
      <c r="G121" t="s">
        <v>7</v>
      </c>
      <c r="H121" t="s">
        <v>335</v>
      </c>
    </row>
    <row r="122" spans="1:8" x14ac:dyDescent="0.25">
      <c r="A122" t="s">
        <v>0</v>
      </c>
      <c r="B122" t="s">
        <v>211</v>
      </c>
      <c r="C122" t="s">
        <v>215</v>
      </c>
      <c r="D122">
        <v>160</v>
      </c>
      <c r="E122" t="s">
        <v>212</v>
      </c>
      <c r="F122" t="s">
        <v>216</v>
      </c>
      <c r="G122">
        <v>20</v>
      </c>
    </row>
    <row r="123" spans="1:8" x14ac:dyDescent="0.25">
      <c r="A123" t="s">
        <v>0</v>
      </c>
      <c r="B123" t="s">
        <v>217</v>
      </c>
      <c r="C123" t="s">
        <v>218</v>
      </c>
      <c r="D123" t="s">
        <v>219</v>
      </c>
      <c r="E123">
        <v>0</v>
      </c>
      <c r="F123" t="s">
        <v>4</v>
      </c>
      <c r="G123" t="s">
        <v>16</v>
      </c>
      <c r="H123" t="s">
        <v>336</v>
      </c>
    </row>
    <row r="124" spans="1:8" x14ac:dyDescent="0.25">
      <c r="A124" t="s">
        <v>0</v>
      </c>
      <c r="B124" t="s">
        <v>1</v>
      </c>
      <c r="C124" t="s">
        <v>3</v>
      </c>
      <c r="D124" t="s">
        <v>4</v>
      </c>
      <c r="E124" t="s">
        <v>5</v>
      </c>
      <c r="F124" t="s">
        <v>337</v>
      </c>
      <c r="G124" t="s">
        <v>7</v>
      </c>
      <c r="H124" t="s">
        <v>338</v>
      </c>
    </row>
    <row r="125" spans="1:8" x14ac:dyDescent="0.25">
      <c r="A125" t="s">
        <v>0</v>
      </c>
      <c r="B125" t="s">
        <v>211</v>
      </c>
      <c r="C125" t="s">
        <v>215</v>
      </c>
      <c r="D125">
        <v>134</v>
      </c>
      <c r="E125" t="s">
        <v>212</v>
      </c>
      <c r="F125" t="s">
        <v>216</v>
      </c>
      <c r="G125">
        <v>17</v>
      </c>
    </row>
    <row r="126" spans="1:8" x14ac:dyDescent="0.25">
      <c r="A126" t="s">
        <v>0</v>
      </c>
      <c r="B126" t="s">
        <v>14</v>
      </c>
      <c r="C126" t="s">
        <v>15</v>
      </c>
      <c r="D126">
        <v>20</v>
      </c>
      <c r="E126" t="s">
        <v>4</v>
      </c>
      <c r="F126" t="s">
        <v>16</v>
      </c>
      <c r="G126" t="s">
        <v>339</v>
      </c>
    </row>
    <row r="127" spans="1:8" x14ac:dyDescent="0.25">
      <c r="A127" t="s">
        <v>0</v>
      </c>
      <c r="B127" t="s">
        <v>1</v>
      </c>
      <c r="C127" t="s">
        <v>3</v>
      </c>
      <c r="D127" t="s">
        <v>4</v>
      </c>
      <c r="E127" t="s">
        <v>5</v>
      </c>
      <c r="F127" t="s">
        <v>340</v>
      </c>
      <c r="G127" t="s">
        <v>7</v>
      </c>
      <c r="H127" t="s">
        <v>221</v>
      </c>
    </row>
    <row r="128" spans="1:8" x14ac:dyDescent="0.25">
      <c r="A128" t="s">
        <v>0</v>
      </c>
      <c r="B128" t="s">
        <v>211</v>
      </c>
      <c r="C128" t="s">
        <v>215</v>
      </c>
      <c r="D128">
        <v>223</v>
      </c>
      <c r="E128" t="s">
        <v>212</v>
      </c>
      <c r="F128" t="s">
        <v>216</v>
      </c>
      <c r="G128">
        <v>28</v>
      </c>
    </row>
    <row r="129" spans="1:8" x14ac:dyDescent="0.25">
      <c r="A129" t="s">
        <v>0</v>
      </c>
      <c r="B129" t="s">
        <v>217</v>
      </c>
      <c r="C129" t="s">
        <v>218</v>
      </c>
      <c r="D129" t="s">
        <v>219</v>
      </c>
      <c r="E129">
        <v>0</v>
      </c>
      <c r="F129" t="s">
        <v>4</v>
      </c>
      <c r="G129" t="s">
        <v>16</v>
      </c>
      <c r="H129" t="s">
        <v>341</v>
      </c>
    </row>
    <row r="130" spans="1:8" x14ac:dyDescent="0.25">
      <c r="A130" t="s">
        <v>0</v>
      </c>
      <c r="B130" t="s">
        <v>1</v>
      </c>
      <c r="C130" t="s">
        <v>3</v>
      </c>
      <c r="D130" t="s">
        <v>4</v>
      </c>
      <c r="E130" t="s">
        <v>5</v>
      </c>
      <c r="F130" t="s">
        <v>342</v>
      </c>
      <c r="G130" t="s">
        <v>7</v>
      </c>
      <c r="H130" t="s">
        <v>343</v>
      </c>
    </row>
    <row r="131" spans="1:8" x14ac:dyDescent="0.25">
      <c r="A131" t="s">
        <v>0</v>
      </c>
      <c r="B131" t="s">
        <v>211</v>
      </c>
      <c r="C131" t="s">
        <v>215</v>
      </c>
      <c r="D131">
        <v>87</v>
      </c>
      <c r="E131" t="s">
        <v>212</v>
      </c>
      <c r="F131" t="s">
        <v>216</v>
      </c>
      <c r="G131">
        <v>11</v>
      </c>
    </row>
    <row r="132" spans="1:8" x14ac:dyDescent="0.25">
      <c r="A132" t="s">
        <v>0</v>
      </c>
      <c r="B132" t="s">
        <v>14</v>
      </c>
      <c r="C132" t="s">
        <v>15</v>
      </c>
      <c r="D132">
        <v>21</v>
      </c>
      <c r="E132" t="s">
        <v>4</v>
      </c>
      <c r="F132" t="s">
        <v>16</v>
      </c>
      <c r="G132" t="s">
        <v>344</v>
      </c>
    </row>
    <row r="133" spans="1:8" x14ac:dyDescent="0.25">
      <c r="A133" t="s">
        <v>0</v>
      </c>
      <c r="B133" t="s">
        <v>1</v>
      </c>
      <c r="C133" t="s">
        <v>3</v>
      </c>
      <c r="D133" t="s">
        <v>4</v>
      </c>
      <c r="E133" t="s">
        <v>5</v>
      </c>
      <c r="F133" t="s">
        <v>345</v>
      </c>
      <c r="G133" t="s">
        <v>7</v>
      </c>
      <c r="H133" t="s">
        <v>346</v>
      </c>
    </row>
    <row r="134" spans="1:8" x14ac:dyDescent="0.25">
      <c r="A134" t="s">
        <v>0</v>
      </c>
      <c r="B134" t="s">
        <v>211</v>
      </c>
      <c r="C134" t="s">
        <v>215</v>
      </c>
      <c r="D134">
        <v>104</v>
      </c>
      <c r="E134" t="s">
        <v>212</v>
      </c>
      <c r="F134" t="s">
        <v>216</v>
      </c>
      <c r="G134">
        <v>13</v>
      </c>
    </row>
    <row r="135" spans="1:8" x14ac:dyDescent="0.25">
      <c r="A135" t="s">
        <v>0</v>
      </c>
      <c r="B135" t="s">
        <v>217</v>
      </c>
      <c r="C135" t="s">
        <v>218</v>
      </c>
      <c r="D135" t="s">
        <v>219</v>
      </c>
      <c r="E135">
        <v>0</v>
      </c>
      <c r="F135" t="s">
        <v>4</v>
      </c>
      <c r="G135" t="s">
        <v>16</v>
      </c>
      <c r="H135" t="s">
        <v>347</v>
      </c>
    </row>
    <row r="136" spans="1:8" x14ac:dyDescent="0.25">
      <c r="A136" t="s">
        <v>0</v>
      </c>
      <c r="B136" t="s">
        <v>1</v>
      </c>
      <c r="C136" t="s">
        <v>3</v>
      </c>
      <c r="D136" t="s">
        <v>4</v>
      </c>
      <c r="E136" t="s">
        <v>5</v>
      </c>
      <c r="F136" t="s">
        <v>348</v>
      </c>
      <c r="G136" t="s">
        <v>7</v>
      </c>
      <c r="H136" t="s">
        <v>349</v>
      </c>
    </row>
    <row r="137" spans="1:8" x14ac:dyDescent="0.25">
      <c r="A137" t="s">
        <v>0</v>
      </c>
      <c r="B137" t="s">
        <v>211</v>
      </c>
      <c r="C137" t="s">
        <v>215</v>
      </c>
      <c r="D137">
        <v>206</v>
      </c>
      <c r="E137" t="s">
        <v>212</v>
      </c>
      <c r="F137" t="s">
        <v>216</v>
      </c>
      <c r="G137">
        <v>26</v>
      </c>
    </row>
    <row r="138" spans="1:8" x14ac:dyDescent="0.25">
      <c r="A138" t="s">
        <v>0</v>
      </c>
      <c r="B138" t="s">
        <v>14</v>
      </c>
      <c r="C138" t="s">
        <v>15</v>
      </c>
      <c r="D138">
        <v>22</v>
      </c>
      <c r="E138" t="s">
        <v>4</v>
      </c>
      <c r="F138" t="s">
        <v>16</v>
      </c>
      <c r="G138" t="s">
        <v>350</v>
      </c>
    </row>
    <row r="139" spans="1:8" x14ac:dyDescent="0.25">
      <c r="A139" t="s">
        <v>0</v>
      </c>
      <c r="B139" t="s">
        <v>1</v>
      </c>
      <c r="C139" t="s">
        <v>3</v>
      </c>
      <c r="D139" t="s">
        <v>4</v>
      </c>
      <c r="E139" t="s">
        <v>5</v>
      </c>
      <c r="F139" t="s">
        <v>351</v>
      </c>
      <c r="G139" t="s">
        <v>7</v>
      </c>
      <c r="H139" t="s">
        <v>352</v>
      </c>
    </row>
    <row r="140" spans="1:8" x14ac:dyDescent="0.25">
      <c r="A140" t="s">
        <v>0</v>
      </c>
      <c r="B140" t="s">
        <v>211</v>
      </c>
      <c r="C140" t="s">
        <v>215</v>
      </c>
      <c r="D140">
        <v>39</v>
      </c>
      <c r="E140" t="s">
        <v>212</v>
      </c>
      <c r="F140" t="s">
        <v>216</v>
      </c>
      <c r="G140">
        <v>5</v>
      </c>
    </row>
    <row r="141" spans="1:8" x14ac:dyDescent="0.25">
      <c r="A141" t="s">
        <v>0</v>
      </c>
      <c r="B141" t="s">
        <v>217</v>
      </c>
      <c r="C141" t="s">
        <v>218</v>
      </c>
      <c r="D141" t="s">
        <v>219</v>
      </c>
      <c r="E141">
        <v>0</v>
      </c>
      <c r="F141" t="s">
        <v>4</v>
      </c>
      <c r="G141" t="s">
        <v>16</v>
      </c>
      <c r="H141" t="s">
        <v>353</v>
      </c>
    </row>
    <row r="142" spans="1:8" x14ac:dyDescent="0.25">
      <c r="A142" t="s">
        <v>0</v>
      </c>
      <c r="B142" t="s">
        <v>1</v>
      </c>
      <c r="C142" t="s">
        <v>3</v>
      </c>
      <c r="D142" t="s">
        <v>4</v>
      </c>
      <c r="E142" t="s">
        <v>5</v>
      </c>
      <c r="F142" t="s">
        <v>354</v>
      </c>
      <c r="G142" t="s">
        <v>7</v>
      </c>
      <c r="H142" t="s">
        <v>355</v>
      </c>
    </row>
    <row r="143" spans="1:8" x14ac:dyDescent="0.25">
      <c r="A143" t="s">
        <v>0</v>
      </c>
      <c r="B143" t="s">
        <v>211</v>
      </c>
      <c r="C143" t="s">
        <v>215</v>
      </c>
      <c r="D143">
        <v>87</v>
      </c>
      <c r="E143" t="s">
        <v>212</v>
      </c>
      <c r="F143" t="s">
        <v>216</v>
      </c>
      <c r="G143">
        <v>11</v>
      </c>
    </row>
    <row r="144" spans="1:8" x14ac:dyDescent="0.25">
      <c r="A144" t="s">
        <v>0</v>
      </c>
      <c r="B144" t="s">
        <v>14</v>
      </c>
      <c r="C144" t="s">
        <v>15</v>
      </c>
      <c r="D144">
        <v>23</v>
      </c>
      <c r="E144" t="s">
        <v>4</v>
      </c>
      <c r="F144" t="s">
        <v>16</v>
      </c>
      <c r="G144" t="s">
        <v>356</v>
      </c>
    </row>
    <row r="145" spans="1:8" x14ac:dyDescent="0.25">
      <c r="A145" t="s">
        <v>0</v>
      </c>
      <c r="B145" t="s">
        <v>1</v>
      </c>
      <c r="C145" t="s">
        <v>3</v>
      </c>
      <c r="D145" t="s">
        <v>4</v>
      </c>
      <c r="E145" t="s">
        <v>5</v>
      </c>
      <c r="F145" t="s">
        <v>357</v>
      </c>
      <c r="G145" t="s">
        <v>7</v>
      </c>
      <c r="H145" t="s">
        <v>358</v>
      </c>
    </row>
    <row r="146" spans="1:8" x14ac:dyDescent="0.25">
      <c r="A146" t="s">
        <v>0</v>
      </c>
      <c r="B146" t="s">
        <v>211</v>
      </c>
      <c r="C146" t="s">
        <v>215</v>
      </c>
      <c r="D146">
        <v>32</v>
      </c>
      <c r="E146" t="s">
        <v>212</v>
      </c>
      <c r="F146" t="s">
        <v>216</v>
      </c>
      <c r="G146">
        <v>4</v>
      </c>
    </row>
    <row r="147" spans="1:8" x14ac:dyDescent="0.25">
      <c r="A147" t="s">
        <v>0</v>
      </c>
      <c r="B147" t="s">
        <v>217</v>
      </c>
      <c r="C147" t="s">
        <v>218</v>
      </c>
      <c r="D147" t="s">
        <v>219</v>
      </c>
      <c r="E147">
        <v>0</v>
      </c>
      <c r="F147" t="s">
        <v>4</v>
      </c>
      <c r="G147" t="s">
        <v>16</v>
      </c>
      <c r="H147" t="s">
        <v>359</v>
      </c>
    </row>
    <row r="148" spans="1:8" x14ac:dyDescent="0.25">
      <c r="A148" t="s">
        <v>0</v>
      </c>
      <c r="B148" t="s">
        <v>1</v>
      </c>
      <c r="C148" t="s">
        <v>3</v>
      </c>
      <c r="D148" t="s">
        <v>4</v>
      </c>
      <c r="E148" t="s">
        <v>5</v>
      </c>
      <c r="F148" t="s">
        <v>360</v>
      </c>
      <c r="G148" t="s">
        <v>7</v>
      </c>
      <c r="H148" t="s">
        <v>70</v>
      </c>
    </row>
    <row r="149" spans="1:8" x14ac:dyDescent="0.25">
      <c r="A149" t="s">
        <v>0</v>
      </c>
      <c r="B149" t="s">
        <v>211</v>
      </c>
      <c r="C149" t="s">
        <v>215</v>
      </c>
      <c r="D149">
        <v>30</v>
      </c>
      <c r="E149" t="s">
        <v>212</v>
      </c>
      <c r="F149" t="s">
        <v>216</v>
      </c>
      <c r="G149">
        <v>4</v>
      </c>
    </row>
    <row r="150" spans="1:8" x14ac:dyDescent="0.25">
      <c r="A150" t="s">
        <v>0</v>
      </c>
      <c r="B150" t="s">
        <v>14</v>
      </c>
      <c r="C150" t="s">
        <v>15</v>
      </c>
      <c r="D150">
        <v>24</v>
      </c>
      <c r="E150" t="s">
        <v>4</v>
      </c>
      <c r="F150" t="s">
        <v>16</v>
      </c>
      <c r="G150" t="s">
        <v>361</v>
      </c>
    </row>
    <row r="151" spans="1:8" x14ac:dyDescent="0.25">
      <c r="A151" t="s">
        <v>0</v>
      </c>
      <c r="B151" t="s">
        <v>1</v>
      </c>
      <c r="C151" t="s">
        <v>3</v>
      </c>
      <c r="D151" t="s">
        <v>4</v>
      </c>
      <c r="E151" t="s">
        <v>5</v>
      </c>
      <c r="F151" t="s">
        <v>362</v>
      </c>
      <c r="G151" t="s">
        <v>7</v>
      </c>
      <c r="H151" t="s">
        <v>363</v>
      </c>
    </row>
    <row r="152" spans="1:8" x14ac:dyDescent="0.25">
      <c r="A152" t="s">
        <v>0</v>
      </c>
      <c r="B152" t="s">
        <v>211</v>
      </c>
      <c r="C152" t="s">
        <v>215</v>
      </c>
      <c r="D152">
        <v>95</v>
      </c>
      <c r="E152" t="s">
        <v>212</v>
      </c>
      <c r="F152" t="s">
        <v>216</v>
      </c>
      <c r="G152">
        <v>12</v>
      </c>
    </row>
    <row r="153" spans="1:8" x14ac:dyDescent="0.25">
      <c r="A153" t="s">
        <v>0</v>
      </c>
      <c r="B153" t="s">
        <v>217</v>
      </c>
      <c r="C153" t="s">
        <v>218</v>
      </c>
      <c r="D153" t="s">
        <v>219</v>
      </c>
      <c r="E153">
        <v>0</v>
      </c>
      <c r="F153" t="s">
        <v>4</v>
      </c>
      <c r="G153" t="s">
        <v>16</v>
      </c>
      <c r="H153" t="s">
        <v>364</v>
      </c>
    </row>
    <row r="154" spans="1:8" x14ac:dyDescent="0.25">
      <c r="A154" t="s">
        <v>0</v>
      </c>
      <c r="B154" t="s">
        <v>1</v>
      </c>
      <c r="C154" t="s">
        <v>3</v>
      </c>
      <c r="D154" t="s">
        <v>4</v>
      </c>
      <c r="E154" t="s">
        <v>5</v>
      </c>
      <c r="F154" t="s">
        <v>365</v>
      </c>
      <c r="G154" t="s">
        <v>7</v>
      </c>
      <c r="H154" t="s">
        <v>366</v>
      </c>
    </row>
    <row r="155" spans="1:8" x14ac:dyDescent="0.25">
      <c r="A155" t="s">
        <v>0</v>
      </c>
      <c r="B155" t="s">
        <v>211</v>
      </c>
      <c r="C155" t="s">
        <v>215</v>
      </c>
      <c r="D155">
        <v>231</v>
      </c>
      <c r="E155" t="s">
        <v>212</v>
      </c>
      <c r="F155" t="s">
        <v>216</v>
      </c>
      <c r="G155">
        <v>29</v>
      </c>
    </row>
    <row r="156" spans="1:8" x14ac:dyDescent="0.25">
      <c r="A156" t="s">
        <v>0</v>
      </c>
      <c r="B156" t="s">
        <v>14</v>
      </c>
      <c r="C156" t="s">
        <v>15</v>
      </c>
      <c r="D156">
        <v>25</v>
      </c>
      <c r="E156" t="s">
        <v>4</v>
      </c>
      <c r="F156" t="s">
        <v>16</v>
      </c>
      <c r="G156" t="s">
        <v>367</v>
      </c>
    </row>
    <row r="157" spans="1:8" x14ac:dyDescent="0.25">
      <c r="A157" t="s">
        <v>0</v>
      </c>
      <c r="B157" t="s">
        <v>1</v>
      </c>
      <c r="C157" t="s">
        <v>3</v>
      </c>
      <c r="D157" t="s">
        <v>4</v>
      </c>
      <c r="E157" t="s">
        <v>5</v>
      </c>
      <c r="F157" t="s">
        <v>368</v>
      </c>
      <c r="G157" t="s">
        <v>7</v>
      </c>
      <c r="H157" t="s">
        <v>369</v>
      </c>
    </row>
    <row r="158" spans="1:8" x14ac:dyDescent="0.25">
      <c r="A158" t="s">
        <v>0</v>
      </c>
      <c r="B158" t="s">
        <v>211</v>
      </c>
      <c r="C158" t="s">
        <v>215</v>
      </c>
      <c r="D158">
        <v>120</v>
      </c>
      <c r="E158" t="s">
        <v>212</v>
      </c>
      <c r="F158" t="s">
        <v>216</v>
      </c>
      <c r="G158">
        <v>15</v>
      </c>
    </row>
    <row r="159" spans="1:8" x14ac:dyDescent="0.25">
      <c r="A159" t="s">
        <v>0</v>
      </c>
      <c r="B159" t="s">
        <v>217</v>
      </c>
      <c r="C159" t="s">
        <v>218</v>
      </c>
      <c r="D159" t="s">
        <v>219</v>
      </c>
      <c r="E159">
        <v>0</v>
      </c>
      <c r="F159" t="s">
        <v>4</v>
      </c>
      <c r="G159" t="s">
        <v>16</v>
      </c>
      <c r="H159" t="s">
        <v>370</v>
      </c>
    </row>
    <row r="160" spans="1:8" x14ac:dyDescent="0.25">
      <c r="A160" t="s">
        <v>0</v>
      </c>
      <c r="B160" t="s">
        <v>1</v>
      </c>
      <c r="C160" t="s">
        <v>3</v>
      </c>
      <c r="D160" t="s">
        <v>4</v>
      </c>
      <c r="E160" t="s">
        <v>5</v>
      </c>
      <c r="F160" t="s">
        <v>371</v>
      </c>
      <c r="G160" t="s">
        <v>7</v>
      </c>
      <c r="H160" t="s">
        <v>372</v>
      </c>
    </row>
    <row r="161" spans="1:8" x14ac:dyDescent="0.25">
      <c r="A161" t="s">
        <v>0</v>
      </c>
      <c r="B161" t="s">
        <v>211</v>
      </c>
      <c r="C161" t="s">
        <v>215</v>
      </c>
      <c r="D161">
        <v>62</v>
      </c>
      <c r="E161" t="s">
        <v>212</v>
      </c>
      <c r="F161" t="s">
        <v>216</v>
      </c>
      <c r="G161">
        <v>8</v>
      </c>
    </row>
    <row r="162" spans="1:8" x14ac:dyDescent="0.25">
      <c r="A162" t="s">
        <v>0</v>
      </c>
      <c r="B162" t="s">
        <v>14</v>
      </c>
      <c r="C162" t="s">
        <v>15</v>
      </c>
      <c r="D162">
        <v>26</v>
      </c>
      <c r="E162" t="s">
        <v>4</v>
      </c>
      <c r="F162" t="s">
        <v>16</v>
      </c>
      <c r="G162" t="s">
        <v>373</v>
      </c>
    </row>
    <row r="163" spans="1:8" x14ac:dyDescent="0.25">
      <c r="A163" t="s">
        <v>0</v>
      </c>
      <c r="B163" t="s">
        <v>1</v>
      </c>
      <c r="C163" t="s">
        <v>3</v>
      </c>
      <c r="D163" t="s">
        <v>4</v>
      </c>
      <c r="E163" t="s">
        <v>5</v>
      </c>
      <c r="F163" t="s">
        <v>374</v>
      </c>
      <c r="G163" t="s">
        <v>7</v>
      </c>
      <c r="H163" t="s">
        <v>375</v>
      </c>
    </row>
    <row r="164" spans="1:8" x14ac:dyDescent="0.25">
      <c r="A164" t="s">
        <v>0</v>
      </c>
      <c r="B164" t="s">
        <v>211</v>
      </c>
      <c r="C164" t="s">
        <v>215</v>
      </c>
      <c r="D164">
        <v>127</v>
      </c>
      <c r="E164" t="s">
        <v>212</v>
      </c>
      <c r="F164" t="s">
        <v>216</v>
      </c>
      <c r="G164">
        <v>16</v>
      </c>
    </row>
    <row r="165" spans="1:8" x14ac:dyDescent="0.25">
      <c r="A165" t="s">
        <v>0</v>
      </c>
      <c r="B165" t="s">
        <v>217</v>
      </c>
      <c r="C165" t="s">
        <v>218</v>
      </c>
      <c r="D165" t="s">
        <v>219</v>
      </c>
      <c r="E165">
        <v>0</v>
      </c>
      <c r="F165" t="s">
        <v>4</v>
      </c>
      <c r="G165" t="s">
        <v>16</v>
      </c>
      <c r="H165" t="s">
        <v>376</v>
      </c>
    </row>
    <row r="166" spans="1:8" x14ac:dyDescent="0.25">
      <c r="A166" t="s">
        <v>0</v>
      </c>
      <c r="B166" t="s">
        <v>1</v>
      </c>
      <c r="C166" t="s">
        <v>3</v>
      </c>
      <c r="D166" t="s">
        <v>4</v>
      </c>
      <c r="E166" t="s">
        <v>5</v>
      </c>
      <c r="F166" t="s">
        <v>377</v>
      </c>
      <c r="G166" t="s">
        <v>7</v>
      </c>
      <c r="H166" t="s">
        <v>378</v>
      </c>
    </row>
    <row r="167" spans="1:8" x14ac:dyDescent="0.25">
      <c r="A167" t="s">
        <v>0</v>
      </c>
      <c r="B167" t="s">
        <v>211</v>
      </c>
      <c r="C167" t="s">
        <v>215</v>
      </c>
      <c r="D167">
        <v>175</v>
      </c>
      <c r="E167" t="s">
        <v>212</v>
      </c>
      <c r="F167" t="s">
        <v>216</v>
      </c>
      <c r="G167">
        <v>22</v>
      </c>
    </row>
    <row r="168" spans="1:8" x14ac:dyDescent="0.25">
      <c r="A168" t="s">
        <v>0</v>
      </c>
      <c r="B168" t="s">
        <v>14</v>
      </c>
      <c r="C168" t="s">
        <v>15</v>
      </c>
      <c r="D168">
        <v>27</v>
      </c>
      <c r="E168" t="s">
        <v>4</v>
      </c>
      <c r="F168" t="s">
        <v>16</v>
      </c>
      <c r="G168" t="s">
        <v>379</v>
      </c>
    </row>
    <row r="169" spans="1:8" x14ac:dyDescent="0.25">
      <c r="A169" t="s">
        <v>0</v>
      </c>
      <c r="B169" t="s">
        <v>1</v>
      </c>
      <c r="C169" t="s">
        <v>3</v>
      </c>
      <c r="D169" t="s">
        <v>4</v>
      </c>
      <c r="E169" t="s">
        <v>5</v>
      </c>
      <c r="F169" t="s">
        <v>380</v>
      </c>
      <c r="G169" t="s">
        <v>7</v>
      </c>
      <c r="H169" t="s">
        <v>381</v>
      </c>
    </row>
    <row r="170" spans="1:8" x14ac:dyDescent="0.25">
      <c r="A170" t="s">
        <v>0</v>
      </c>
      <c r="B170" t="s">
        <v>211</v>
      </c>
      <c r="C170" t="s">
        <v>215</v>
      </c>
      <c r="D170">
        <v>192</v>
      </c>
      <c r="E170" t="s">
        <v>212</v>
      </c>
      <c r="F170" t="s">
        <v>216</v>
      </c>
      <c r="G170">
        <v>24</v>
      </c>
    </row>
    <row r="171" spans="1:8" x14ac:dyDescent="0.25">
      <c r="A171" t="s">
        <v>0</v>
      </c>
      <c r="B171" t="s">
        <v>217</v>
      </c>
      <c r="C171" t="s">
        <v>218</v>
      </c>
      <c r="D171" t="s">
        <v>219</v>
      </c>
      <c r="E171">
        <v>0</v>
      </c>
      <c r="F171" t="s">
        <v>4</v>
      </c>
      <c r="G171" t="s">
        <v>16</v>
      </c>
      <c r="H171" t="s">
        <v>382</v>
      </c>
    </row>
    <row r="172" spans="1:8" x14ac:dyDescent="0.25">
      <c r="A172" t="s">
        <v>0</v>
      </c>
      <c r="B172" t="s">
        <v>1</v>
      </c>
      <c r="C172" t="s">
        <v>3</v>
      </c>
      <c r="D172" t="s">
        <v>4</v>
      </c>
      <c r="E172" t="s">
        <v>5</v>
      </c>
      <c r="F172" t="s">
        <v>383</v>
      </c>
      <c r="G172" t="s">
        <v>7</v>
      </c>
      <c r="H172" t="s">
        <v>384</v>
      </c>
    </row>
    <row r="173" spans="1:8" x14ac:dyDescent="0.25">
      <c r="A173" t="s">
        <v>0</v>
      </c>
      <c r="B173" t="s">
        <v>211</v>
      </c>
      <c r="C173" t="s">
        <v>215</v>
      </c>
      <c r="D173">
        <v>126</v>
      </c>
      <c r="E173" t="s">
        <v>212</v>
      </c>
      <c r="F173" t="s">
        <v>216</v>
      </c>
      <c r="G173">
        <v>16</v>
      </c>
    </row>
    <row r="174" spans="1:8" x14ac:dyDescent="0.25">
      <c r="A174" t="s">
        <v>0</v>
      </c>
      <c r="B174" t="s">
        <v>14</v>
      </c>
      <c r="C174" t="s">
        <v>15</v>
      </c>
      <c r="D174">
        <v>28</v>
      </c>
      <c r="E174" t="s">
        <v>4</v>
      </c>
      <c r="F174" t="s">
        <v>16</v>
      </c>
      <c r="G174" t="s">
        <v>385</v>
      </c>
    </row>
    <row r="175" spans="1:8" x14ac:dyDescent="0.25">
      <c r="A175" t="s">
        <v>0</v>
      </c>
      <c r="B175" t="s">
        <v>1</v>
      </c>
      <c r="C175" t="s">
        <v>3</v>
      </c>
      <c r="D175" t="s">
        <v>4</v>
      </c>
      <c r="E175" t="s">
        <v>5</v>
      </c>
      <c r="F175" t="s">
        <v>386</v>
      </c>
      <c r="G175" t="s">
        <v>7</v>
      </c>
      <c r="H175" t="s">
        <v>387</v>
      </c>
    </row>
    <row r="176" spans="1:8" x14ac:dyDescent="0.25">
      <c r="A176" t="s">
        <v>0</v>
      </c>
      <c r="B176" t="s">
        <v>211</v>
      </c>
      <c r="C176" t="s">
        <v>215</v>
      </c>
      <c r="D176">
        <v>135</v>
      </c>
      <c r="E176" t="s">
        <v>212</v>
      </c>
      <c r="F176" t="s">
        <v>216</v>
      </c>
      <c r="G176">
        <v>17</v>
      </c>
    </row>
    <row r="177" spans="1:8" x14ac:dyDescent="0.25">
      <c r="A177" t="s">
        <v>0</v>
      </c>
      <c r="B177" t="s">
        <v>217</v>
      </c>
      <c r="C177" t="s">
        <v>218</v>
      </c>
      <c r="D177" t="s">
        <v>219</v>
      </c>
      <c r="E177">
        <v>0</v>
      </c>
      <c r="F177" t="s">
        <v>4</v>
      </c>
      <c r="G177" t="s">
        <v>16</v>
      </c>
      <c r="H177" t="s">
        <v>388</v>
      </c>
    </row>
    <row r="178" spans="1:8" x14ac:dyDescent="0.25">
      <c r="A178" t="s">
        <v>0</v>
      </c>
      <c r="B178" t="s">
        <v>1</v>
      </c>
      <c r="C178" t="s">
        <v>3</v>
      </c>
      <c r="D178" t="s">
        <v>4</v>
      </c>
      <c r="E178" t="s">
        <v>5</v>
      </c>
      <c r="F178" t="s">
        <v>389</v>
      </c>
      <c r="G178" t="s">
        <v>7</v>
      </c>
      <c r="H178" t="s">
        <v>390</v>
      </c>
    </row>
    <row r="179" spans="1:8" x14ac:dyDescent="0.25">
      <c r="A179" t="s">
        <v>0</v>
      </c>
      <c r="B179" t="s">
        <v>211</v>
      </c>
      <c r="C179" t="s">
        <v>215</v>
      </c>
      <c r="D179">
        <v>231</v>
      </c>
      <c r="E179" t="s">
        <v>212</v>
      </c>
      <c r="F179" t="s">
        <v>216</v>
      </c>
      <c r="G179">
        <v>29</v>
      </c>
    </row>
    <row r="180" spans="1:8" x14ac:dyDescent="0.25">
      <c r="A180" t="s">
        <v>0</v>
      </c>
      <c r="B180" t="s">
        <v>14</v>
      </c>
      <c r="C180" t="s">
        <v>15</v>
      </c>
      <c r="D180">
        <v>29</v>
      </c>
      <c r="E180" t="s">
        <v>4</v>
      </c>
      <c r="F180" t="s">
        <v>16</v>
      </c>
      <c r="G180" t="s">
        <v>391</v>
      </c>
    </row>
    <row r="181" spans="1:8" x14ac:dyDescent="0.25">
      <c r="A181" t="s">
        <v>0</v>
      </c>
      <c r="B181" t="s">
        <v>1</v>
      </c>
      <c r="C181" t="s">
        <v>3</v>
      </c>
      <c r="D181" t="s">
        <v>4</v>
      </c>
      <c r="E181" t="s">
        <v>5</v>
      </c>
      <c r="F181" t="s">
        <v>392</v>
      </c>
      <c r="G181" t="s">
        <v>7</v>
      </c>
      <c r="H181" t="s">
        <v>393</v>
      </c>
    </row>
    <row r="182" spans="1:8" x14ac:dyDescent="0.25">
      <c r="A182" t="s">
        <v>0</v>
      </c>
      <c r="B182" t="s">
        <v>211</v>
      </c>
      <c r="C182" t="s">
        <v>215</v>
      </c>
      <c r="D182">
        <v>96</v>
      </c>
      <c r="E182" t="s">
        <v>212</v>
      </c>
      <c r="F182" t="s">
        <v>216</v>
      </c>
      <c r="G182">
        <v>12</v>
      </c>
    </row>
    <row r="183" spans="1:8" x14ac:dyDescent="0.25">
      <c r="A183" t="s">
        <v>0</v>
      </c>
      <c r="B183" t="s">
        <v>217</v>
      </c>
      <c r="C183" t="s">
        <v>218</v>
      </c>
      <c r="D183" t="s">
        <v>219</v>
      </c>
      <c r="E183">
        <v>0</v>
      </c>
      <c r="F183" t="s">
        <v>4</v>
      </c>
      <c r="G183" t="s">
        <v>16</v>
      </c>
      <c r="H183" t="s">
        <v>394</v>
      </c>
    </row>
    <row r="184" spans="1:8" x14ac:dyDescent="0.25">
      <c r="A184" t="s">
        <v>0</v>
      </c>
      <c r="B184" t="s">
        <v>1</v>
      </c>
      <c r="C184" t="s">
        <v>3</v>
      </c>
      <c r="D184" t="s">
        <v>4</v>
      </c>
      <c r="E184" t="s">
        <v>5</v>
      </c>
      <c r="F184" t="s">
        <v>395</v>
      </c>
      <c r="G184" t="s">
        <v>7</v>
      </c>
      <c r="H184" t="s">
        <v>100</v>
      </c>
    </row>
    <row r="185" spans="1:8" x14ac:dyDescent="0.25">
      <c r="A185" t="s">
        <v>0</v>
      </c>
      <c r="B185" t="s">
        <v>211</v>
      </c>
      <c r="C185" t="s">
        <v>215</v>
      </c>
      <c r="D185">
        <v>6</v>
      </c>
      <c r="E185" t="s">
        <v>212</v>
      </c>
      <c r="F185" t="s">
        <v>216</v>
      </c>
      <c r="G185">
        <v>1</v>
      </c>
    </row>
    <row r="186" spans="1:8" x14ac:dyDescent="0.25">
      <c r="A186" t="s">
        <v>0</v>
      </c>
      <c r="B186" t="s">
        <v>14</v>
      </c>
      <c r="C186" t="s">
        <v>15</v>
      </c>
      <c r="D186">
        <v>30</v>
      </c>
      <c r="E186" t="s">
        <v>4</v>
      </c>
      <c r="F186" t="s">
        <v>16</v>
      </c>
      <c r="G186" t="s">
        <v>396</v>
      </c>
    </row>
    <row r="187" spans="1:8" x14ac:dyDescent="0.25">
      <c r="A187" t="s">
        <v>0</v>
      </c>
      <c r="B187" t="s">
        <v>1</v>
      </c>
      <c r="C187" t="s">
        <v>3</v>
      </c>
      <c r="D187" t="s">
        <v>4</v>
      </c>
      <c r="E187" t="s">
        <v>5</v>
      </c>
      <c r="F187" t="s">
        <v>397</v>
      </c>
      <c r="G187" t="s">
        <v>7</v>
      </c>
      <c r="H187" t="s">
        <v>398</v>
      </c>
    </row>
    <row r="188" spans="1:8" x14ac:dyDescent="0.25">
      <c r="A188" t="s">
        <v>0</v>
      </c>
      <c r="B188" t="s">
        <v>211</v>
      </c>
      <c r="C188" t="s">
        <v>215</v>
      </c>
      <c r="D188">
        <v>127</v>
      </c>
      <c r="E188" t="s">
        <v>212</v>
      </c>
      <c r="F188" t="s">
        <v>216</v>
      </c>
      <c r="G188">
        <v>16</v>
      </c>
    </row>
    <row r="189" spans="1:8" x14ac:dyDescent="0.25">
      <c r="A189" t="s">
        <v>0</v>
      </c>
      <c r="B189" t="s">
        <v>217</v>
      </c>
      <c r="C189" t="s">
        <v>218</v>
      </c>
      <c r="D189" t="s">
        <v>219</v>
      </c>
      <c r="E189">
        <v>0</v>
      </c>
      <c r="F189" t="s">
        <v>4</v>
      </c>
      <c r="G189" t="s">
        <v>16</v>
      </c>
      <c r="H189" t="s">
        <v>399</v>
      </c>
    </row>
    <row r="190" spans="1:8" x14ac:dyDescent="0.25">
      <c r="A190" t="s">
        <v>0</v>
      </c>
      <c r="B190" t="s">
        <v>1</v>
      </c>
      <c r="C190" t="s">
        <v>3</v>
      </c>
      <c r="D190" t="s">
        <v>4</v>
      </c>
      <c r="E190" t="s">
        <v>5</v>
      </c>
      <c r="F190" t="s">
        <v>400</v>
      </c>
      <c r="G190" t="s">
        <v>7</v>
      </c>
      <c r="H190" t="s">
        <v>401</v>
      </c>
    </row>
    <row r="191" spans="1:8" x14ac:dyDescent="0.25">
      <c r="A191" t="s">
        <v>0</v>
      </c>
      <c r="B191" t="s">
        <v>211</v>
      </c>
      <c r="C191" t="s">
        <v>215</v>
      </c>
      <c r="D191">
        <v>71</v>
      </c>
      <c r="E191" t="s">
        <v>212</v>
      </c>
      <c r="F191" t="s">
        <v>216</v>
      </c>
      <c r="G191">
        <v>9</v>
      </c>
    </row>
    <row r="192" spans="1:8" x14ac:dyDescent="0.25">
      <c r="A192" t="s">
        <v>0</v>
      </c>
      <c r="B192" t="s">
        <v>14</v>
      </c>
      <c r="C192" t="s">
        <v>15</v>
      </c>
      <c r="D192">
        <v>31</v>
      </c>
      <c r="E192" t="s">
        <v>4</v>
      </c>
      <c r="F192" t="s">
        <v>16</v>
      </c>
      <c r="G192" t="s">
        <v>402</v>
      </c>
    </row>
    <row r="193" spans="1:8" x14ac:dyDescent="0.25">
      <c r="A193" t="s">
        <v>0</v>
      </c>
      <c r="B193" t="s">
        <v>1</v>
      </c>
      <c r="C193" t="s">
        <v>3</v>
      </c>
      <c r="D193" t="s">
        <v>4</v>
      </c>
      <c r="E193" t="s">
        <v>5</v>
      </c>
      <c r="F193" t="s">
        <v>403</v>
      </c>
      <c r="G193" t="s">
        <v>7</v>
      </c>
      <c r="H193" t="s">
        <v>404</v>
      </c>
    </row>
    <row r="194" spans="1:8" x14ac:dyDescent="0.25">
      <c r="A194" t="s">
        <v>0</v>
      </c>
      <c r="B194" t="s">
        <v>211</v>
      </c>
      <c r="C194" t="s">
        <v>215</v>
      </c>
      <c r="D194">
        <v>96</v>
      </c>
      <c r="E194" t="s">
        <v>212</v>
      </c>
      <c r="F194" t="s">
        <v>216</v>
      </c>
      <c r="G194">
        <v>12</v>
      </c>
    </row>
    <row r="195" spans="1:8" x14ac:dyDescent="0.25">
      <c r="A195" t="s">
        <v>0</v>
      </c>
      <c r="B195" t="s">
        <v>217</v>
      </c>
      <c r="C195" t="s">
        <v>218</v>
      </c>
      <c r="D195" t="s">
        <v>219</v>
      </c>
      <c r="E195">
        <v>0</v>
      </c>
      <c r="F195" t="s">
        <v>4</v>
      </c>
      <c r="G195" t="s">
        <v>16</v>
      </c>
      <c r="H195" t="s">
        <v>405</v>
      </c>
    </row>
    <row r="196" spans="1:8" x14ac:dyDescent="0.25">
      <c r="A196" t="s">
        <v>0</v>
      </c>
      <c r="B196" t="s">
        <v>1</v>
      </c>
      <c r="C196" t="s">
        <v>3</v>
      </c>
      <c r="D196" t="s">
        <v>4</v>
      </c>
      <c r="E196" t="s">
        <v>5</v>
      </c>
      <c r="F196" t="s">
        <v>406</v>
      </c>
      <c r="G196" t="s">
        <v>7</v>
      </c>
      <c r="H196" t="s">
        <v>407</v>
      </c>
    </row>
    <row r="197" spans="1:8" x14ac:dyDescent="0.25">
      <c r="A197" t="s">
        <v>0</v>
      </c>
      <c r="B197" t="s">
        <v>211</v>
      </c>
      <c r="C197" t="s">
        <v>215</v>
      </c>
      <c r="D197">
        <v>38</v>
      </c>
      <c r="E197" t="s">
        <v>212</v>
      </c>
      <c r="F197" t="s">
        <v>216</v>
      </c>
      <c r="G197">
        <v>5</v>
      </c>
    </row>
    <row r="198" spans="1:8" x14ac:dyDescent="0.25">
      <c r="A198" t="s">
        <v>0</v>
      </c>
      <c r="B198" t="s">
        <v>14</v>
      </c>
      <c r="C198" t="s">
        <v>15</v>
      </c>
      <c r="D198">
        <v>32</v>
      </c>
      <c r="E198" t="s">
        <v>4</v>
      </c>
      <c r="F198" t="s">
        <v>16</v>
      </c>
      <c r="G198" t="s">
        <v>408</v>
      </c>
    </row>
    <row r="199" spans="1:8" x14ac:dyDescent="0.25">
      <c r="A199" t="s">
        <v>0</v>
      </c>
      <c r="B199" t="s">
        <v>1</v>
      </c>
      <c r="C199" t="s">
        <v>3</v>
      </c>
      <c r="D199" t="s">
        <v>4</v>
      </c>
      <c r="E199" t="s">
        <v>5</v>
      </c>
      <c r="F199" t="s">
        <v>409</v>
      </c>
      <c r="G199" t="s">
        <v>7</v>
      </c>
      <c r="H199" t="s">
        <v>410</v>
      </c>
    </row>
    <row r="200" spans="1:8" x14ac:dyDescent="0.25">
      <c r="A200" t="s">
        <v>0</v>
      </c>
      <c r="B200" t="s">
        <v>211</v>
      </c>
      <c r="C200" t="s">
        <v>215</v>
      </c>
      <c r="D200">
        <v>207</v>
      </c>
      <c r="E200" t="s">
        <v>212</v>
      </c>
      <c r="F200" t="s">
        <v>216</v>
      </c>
      <c r="G200">
        <v>26</v>
      </c>
    </row>
    <row r="201" spans="1:8" x14ac:dyDescent="0.25">
      <c r="A201" t="s">
        <v>0</v>
      </c>
      <c r="B201" t="s">
        <v>217</v>
      </c>
      <c r="C201" t="s">
        <v>218</v>
      </c>
      <c r="D201" t="s">
        <v>219</v>
      </c>
      <c r="E201">
        <v>0</v>
      </c>
      <c r="F201" t="s">
        <v>4</v>
      </c>
      <c r="G201" t="s">
        <v>16</v>
      </c>
      <c r="H201" t="s">
        <v>411</v>
      </c>
    </row>
    <row r="202" spans="1:8" x14ac:dyDescent="0.25">
      <c r="A202" t="s">
        <v>0</v>
      </c>
      <c r="B202" t="s">
        <v>1</v>
      </c>
      <c r="C202" t="s">
        <v>3</v>
      </c>
      <c r="D202" t="s">
        <v>4</v>
      </c>
      <c r="E202" t="s">
        <v>5</v>
      </c>
      <c r="F202" t="s">
        <v>412</v>
      </c>
      <c r="G202" t="s">
        <v>7</v>
      </c>
      <c r="H202" t="s">
        <v>413</v>
      </c>
    </row>
    <row r="203" spans="1:8" x14ac:dyDescent="0.25">
      <c r="A203" t="s">
        <v>0</v>
      </c>
      <c r="B203" t="s">
        <v>211</v>
      </c>
      <c r="C203" t="s">
        <v>215</v>
      </c>
      <c r="D203">
        <v>71</v>
      </c>
      <c r="E203" t="s">
        <v>212</v>
      </c>
      <c r="F203" t="s">
        <v>216</v>
      </c>
      <c r="G203">
        <v>9</v>
      </c>
    </row>
    <row r="204" spans="1:8" x14ac:dyDescent="0.25">
      <c r="A204" t="s">
        <v>0</v>
      </c>
      <c r="B204" t="s">
        <v>14</v>
      </c>
      <c r="C204" t="s">
        <v>15</v>
      </c>
      <c r="D204">
        <v>33</v>
      </c>
      <c r="E204" t="s">
        <v>4</v>
      </c>
      <c r="F204" t="s">
        <v>16</v>
      </c>
      <c r="G204" t="s">
        <v>414</v>
      </c>
    </row>
    <row r="205" spans="1:8" x14ac:dyDescent="0.25">
      <c r="A205" t="s">
        <v>0</v>
      </c>
      <c r="B205" t="s">
        <v>1</v>
      </c>
      <c r="C205" t="s">
        <v>3</v>
      </c>
      <c r="D205" t="s">
        <v>4</v>
      </c>
      <c r="E205" t="s">
        <v>5</v>
      </c>
      <c r="F205" t="s">
        <v>415</v>
      </c>
      <c r="G205" t="s">
        <v>7</v>
      </c>
      <c r="H205" t="s">
        <v>416</v>
      </c>
    </row>
    <row r="206" spans="1:8" x14ac:dyDescent="0.25">
      <c r="A206" t="s">
        <v>0</v>
      </c>
      <c r="B206" t="s">
        <v>211</v>
      </c>
      <c r="C206" t="s">
        <v>215</v>
      </c>
      <c r="D206">
        <v>24</v>
      </c>
      <c r="E206" t="s">
        <v>212</v>
      </c>
      <c r="F206" t="s">
        <v>216</v>
      </c>
      <c r="G206">
        <v>3</v>
      </c>
    </row>
    <row r="207" spans="1:8" x14ac:dyDescent="0.25">
      <c r="A207" t="s">
        <v>0</v>
      </c>
      <c r="B207" t="s">
        <v>217</v>
      </c>
      <c r="C207" t="s">
        <v>218</v>
      </c>
      <c r="D207" t="s">
        <v>219</v>
      </c>
      <c r="E207">
        <v>0</v>
      </c>
      <c r="F207" t="s">
        <v>4</v>
      </c>
      <c r="G207" t="s">
        <v>16</v>
      </c>
      <c r="H207" t="s">
        <v>417</v>
      </c>
    </row>
    <row r="208" spans="1:8" x14ac:dyDescent="0.25">
      <c r="A208" t="s">
        <v>0</v>
      </c>
      <c r="B208" t="s">
        <v>1</v>
      </c>
      <c r="C208" t="s">
        <v>3</v>
      </c>
      <c r="D208" t="s">
        <v>4</v>
      </c>
      <c r="E208" t="s">
        <v>5</v>
      </c>
      <c r="F208" t="s">
        <v>418</v>
      </c>
      <c r="G208" t="s">
        <v>7</v>
      </c>
      <c r="H208" t="s">
        <v>419</v>
      </c>
    </row>
    <row r="209" spans="1:8" x14ac:dyDescent="0.25">
      <c r="A209" t="s">
        <v>0</v>
      </c>
      <c r="B209" t="s">
        <v>211</v>
      </c>
      <c r="C209" t="s">
        <v>215</v>
      </c>
      <c r="D209">
        <v>14</v>
      </c>
      <c r="E209" t="s">
        <v>212</v>
      </c>
      <c r="F209" t="s">
        <v>216</v>
      </c>
      <c r="G209">
        <v>2</v>
      </c>
    </row>
    <row r="210" spans="1:8" x14ac:dyDescent="0.25">
      <c r="A210" t="s">
        <v>0</v>
      </c>
      <c r="B210" t="s">
        <v>14</v>
      </c>
      <c r="C210" t="s">
        <v>15</v>
      </c>
      <c r="D210">
        <v>34</v>
      </c>
      <c r="E210" t="s">
        <v>4</v>
      </c>
      <c r="F210" t="s">
        <v>16</v>
      </c>
      <c r="G210" t="s">
        <v>420</v>
      </c>
    </row>
    <row r="211" spans="1:8" x14ac:dyDescent="0.25">
      <c r="A211" t="s">
        <v>0</v>
      </c>
      <c r="B211" t="s">
        <v>1</v>
      </c>
      <c r="C211" t="s">
        <v>3</v>
      </c>
      <c r="D211" t="s">
        <v>4</v>
      </c>
      <c r="E211" t="s">
        <v>5</v>
      </c>
      <c r="F211" t="s">
        <v>421</v>
      </c>
      <c r="G211" t="s">
        <v>7</v>
      </c>
      <c r="H211" t="s">
        <v>422</v>
      </c>
    </row>
    <row r="212" spans="1:8" x14ac:dyDescent="0.25">
      <c r="A212" t="s">
        <v>0</v>
      </c>
      <c r="B212" t="s">
        <v>211</v>
      </c>
      <c r="C212" t="s">
        <v>215</v>
      </c>
      <c r="D212">
        <v>135</v>
      </c>
      <c r="E212" t="s">
        <v>212</v>
      </c>
      <c r="F212" t="s">
        <v>216</v>
      </c>
      <c r="G212">
        <v>17</v>
      </c>
    </row>
    <row r="213" spans="1:8" x14ac:dyDescent="0.25">
      <c r="A213" t="s">
        <v>0</v>
      </c>
      <c r="B213" t="s">
        <v>217</v>
      </c>
      <c r="C213" t="s">
        <v>218</v>
      </c>
      <c r="D213" t="s">
        <v>219</v>
      </c>
      <c r="E213">
        <v>0</v>
      </c>
      <c r="F213" t="s">
        <v>4</v>
      </c>
      <c r="G213" t="s">
        <v>16</v>
      </c>
      <c r="H213" t="s">
        <v>423</v>
      </c>
    </row>
    <row r="214" spans="1:8" x14ac:dyDescent="0.25">
      <c r="A214" t="s">
        <v>0</v>
      </c>
      <c r="B214" t="s">
        <v>1</v>
      </c>
      <c r="C214" t="s">
        <v>3</v>
      </c>
      <c r="D214" t="s">
        <v>4</v>
      </c>
      <c r="E214" t="s">
        <v>5</v>
      </c>
      <c r="F214" t="s">
        <v>424</v>
      </c>
      <c r="G214" t="s">
        <v>7</v>
      </c>
      <c r="H214" t="s">
        <v>425</v>
      </c>
    </row>
    <row r="215" spans="1:8" x14ac:dyDescent="0.25">
      <c r="A215" t="s">
        <v>0</v>
      </c>
      <c r="B215" t="s">
        <v>211</v>
      </c>
      <c r="C215" t="s">
        <v>215</v>
      </c>
      <c r="D215">
        <v>3</v>
      </c>
      <c r="E215" t="s">
        <v>212</v>
      </c>
      <c r="F215" t="s">
        <v>216</v>
      </c>
      <c r="G215">
        <v>0</v>
      </c>
    </row>
    <row r="216" spans="1:8" x14ac:dyDescent="0.25">
      <c r="A216" t="s">
        <v>0</v>
      </c>
      <c r="B216" t="s">
        <v>14</v>
      </c>
      <c r="C216" t="s">
        <v>15</v>
      </c>
      <c r="D216">
        <v>35</v>
      </c>
      <c r="E216" t="s">
        <v>4</v>
      </c>
      <c r="F216" t="s">
        <v>16</v>
      </c>
      <c r="G216" t="s">
        <v>426</v>
      </c>
    </row>
    <row r="217" spans="1:8" x14ac:dyDescent="0.25">
      <c r="A217" t="s">
        <v>0</v>
      </c>
      <c r="B217" t="s">
        <v>1</v>
      </c>
      <c r="C217" t="s">
        <v>3</v>
      </c>
      <c r="D217" t="s">
        <v>4</v>
      </c>
      <c r="E217" t="s">
        <v>5</v>
      </c>
      <c r="F217" t="s">
        <v>427</v>
      </c>
      <c r="G217" t="s">
        <v>7</v>
      </c>
      <c r="H217" t="s">
        <v>428</v>
      </c>
    </row>
    <row r="218" spans="1:8" x14ac:dyDescent="0.25">
      <c r="A218" t="s">
        <v>0</v>
      </c>
      <c r="B218" t="s">
        <v>211</v>
      </c>
      <c r="C218" t="s">
        <v>215</v>
      </c>
      <c r="D218">
        <v>61</v>
      </c>
      <c r="E218" t="s">
        <v>212</v>
      </c>
      <c r="F218" t="s">
        <v>216</v>
      </c>
      <c r="G218">
        <v>7</v>
      </c>
    </row>
    <row r="219" spans="1:8" x14ac:dyDescent="0.25">
      <c r="A219" t="s">
        <v>0</v>
      </c>
      <c r="B219" t="s">
        <v>217</v>
      </c>
      <c r="C219" t="s">
        <v>218</v>
      </c>
      <c r="D219" t="s">
        <v>219</v>
      </c>
      <c r="E219">
        <v>0</v>
      </c>
      <c r="F219" t="s">
        <v>4</v>
      </c>
      <c r="G219" t="s">
        <v>16</v>
      </c>
      <c r="H219" t="s">
        <v>429</v>
      </c>
    </row>
    <row r="220" spans="1:8" x14ac:dyDescent="0.25">
      <c r="A220" t="s">
        <v>0</v>
      </c>
      <c r="B220" t="s">
        <v>1</v>
      </c>
      <c r="C220" t="s">
        <v>3</v>
      </c>
      <c r="D220" t="s">
        <v>4</v>
      </c>
      <c r="E220" t="s">
        <v>5</v>
      </c>
      <c r="F220" t="s">
        <v>430</v>
      </c>
      <c r="G220" t="s">
        <v>7</v>
      </c>
      <c r="H220" t="s">
        <v>431</v>
      </c>
    </row>
    <row r="221" spans="1:8" x14ac:dyDescent="0.25">
      <c r="A221" t="s">
        <v>0</v>
      </c>
      <c r="B221" t="s">
        <v>211</v>
      </c>
      <c r="C221" t="s">
        <v>215</v>
      </c>
      <c r="D221">
        <v>110</v>
      </c>
      <c r="E221" t="s">
        <v>212</v>
      </c>
      <c r="F221" t="s">
        <v>216</v>
      </c>
      <c r="G221">
        <v>14</v>
      </c>
    </row>
    <row r="222" spans="1:8" x14ac:dyDescent="0.25">
      <c r="A222" t="s">
        <v>0</v>
      </c>
      <c r="B222" t="s">
        <v>14</v>
      </c>
      <c r="C222" t="s">
        <v>15</v>
      </c>
      <c r="D222">
        <v>36</v>
      </c>
      <c r="E222" t="s">
        <v>4</v>
      </c>
      <c r="F222" t="s">
        <v>16</v>
      </c>
      <c r="G222" t="s">
        <v>432</v>
      </c>
    </row>
    <row r="223" spans="1:8" x14ac:dyDescent="0.25">
      <c r="A223" t="s">
        <v>0</v>
      </c>
      <c r="B223" t="s">
        <v>1</v>
      </c>
      <c r="C223" t="s">
        <v>3</v>
      </c>
      <c r="D223" t="s">
        <v>4</v>
      </c>
      <c r="E223" t="s">
        <v>5</v>
      </c>
      <c r="F223" t="s">
        <v>433</v>
      </c>
      <c r="G223" t="s">
        <v>7</v>
      </c>
      <c r="H223" t="s">
        <v>434</v>
      </c>
    </row>
    <row r="224" spans="1:8" x14ac:dyDescent="0.25">
      <c r="A224" t="s">
        <v>0</v>
      </c>
      <c r="B224" t="s">
        <v>211</v>
      </c>
      <c r="C224" t="s">
        <v>215</v>
      </c>
      <c r="D224">
        <v>95</v>
      </c>
      <c r="E224" t="s">
        <v>212</v>
      </c>
      <c r="F224" t="s">
        <v>216</v>
      </c>
      <c r="G224">
        <v>12</v>
      </c>
    </row>
    <row r="225" spans="1:8" x14ac:dyDescent="0.25">
      <c r="A225" t="s">
        <v>0</v>
      </c>
      <c r="B225" t="s">
        <v>217</v>
      </c>
      <c r="C225" t="s">
        <v>218</v>
      </c>
      <c r="D225" t="s">
        <v>219</v>
      </c>
      <c r="E225">
        <v>0</v>
      </c>
      <c r="F225" t="s">
        <v>4</v>
      </c>
      <c r="G225" t="s">
        <v>16</v>
      </c>
      <c r="H225" t="s">
        <v>435</v>
      </c>
    </row>
    <row r="226" spans="1:8" x14ac:dyDescent="0.25">
      <c r="A226" t="s">
        <v>0</v>
      </c>
      <c r="B226" t="s">
        <v>1</v>
      </c>
      <c r="C226" t="s">
        <v>3</v>
      </c>
      <c r="D226" t="s">
        <v>4</v>
      </c>
      <c r="E226" t="s">
        <v>5</v>
      </c>
      <c r="F226" t="s">
        <v>436</v>
      </c>
      <c r="G226" t="s">
        <v>7</v>
      </c>
      <c r="H226" t="s">
        <v>437</v>
      </c>
    </row>
    <row r="227" spans="1:8" x14ac:dyDescent="0.25">
      <c r="A227" t="s">
        <v>0</v>
      </c>
      <c r="B227" t="s">
        <v>211</v>
      </c>
      <c r="C227" t="s">
        <v>215</v>
      </c>
      <c r="D227">
        <v>175</v>
      </c>
      <c r="E227" t="s">
        <v>212</v>
      </c>
      <c r="F227" t="s">
        <v>216</v>
      </c>
      <c r="G227">
        <v>22</v>
      </c>
    </row>
    <row r="228" spans="1:8" x14ac:dyDescent="0.25">
      <c r="A228" t="s">
        <v>0</v>
      </c>
      <c r="B228" t="s">
        <v>14</v>
      </c>
      <c r="C228" t="s">
        <v>15</v>
      </c>
      <c r="D228">
        <v>37</v>
      </c>
      <c r="E228" t="s">
        <v>4</v>
      </c>
      <c r="F228" t="s">
        <v>16</v>
      </c>
      <c r="G228" t="s">
        <v>438</v>
      </c>
    </row>
    <row r="229" spans="1:8" x14ac:dyDescent="0.25">
      <c r="A229" t="s">
        <v>0</v>
      </c>
      <c r="B229" t="s">
        <v>1</v>
      </c>
      <c r="C229" t="s">
        <v>3</v>
      </c>
      <c r="D229" t="s">
        <v>4</v>
      </c>
      <c r="E229" t="s">
        <v>5</v>
      </c>
      <c r="F229" t="s">
        <v>439</v>
      </c>
      <c r="G229" t="s">
        <v>7</v>
      </c>
      <c r="H229" t="s">
        <v>440</v>
      </c>
    </row>
    <row r="230" spans="1:8" x14ac:dyDescent="0.25">
      <c r="A230" t="s">
        <v>0</v>
      </c>
      <c r="B230" t="s">
        <v>211</v>
      </c>
      <c r="C230" t="s">
        <v>215</v>
      </c>
      <c r="D230">
        <v>184</v>
      </c>
      <c r="E230" t="s">
        <v>212</v>
      </c>
      <c r="F230" t="s">
        <v>216</v>
      </c>
      <c r="G230">
        <v>23</v>
      </c>
    </row>
    <row r="231" spans="1:8" x14ac:dyDescent="0.25">
      <c r="A231" t="s">
        <v>0</v>
      </c>
      <c r="B231" t="s">
        <v>217</v>
      </c>
      <c r="C231" t="s">
        <v>218</v>
      </c>
      <c r="D231" t="s">
        <v>219</v>
      </c>
      <c r="E231">
        <v>0</v>
      </c>
      <c r="F231" t="s">
        <v>4</v>
      </c>
      <c r="G231" t="s">
        <v>16</v>
      </c>
      <c r="H231" t="s">
        <v>441</v>
      </c>
    </row>
    <row r="232" spans="1:8" x14ac:dyDescent="0.25">
      <c r="A232" t="s">
        <v>0</v>
      </c>
      <c r="B232" t="s">
        <v>1</v>
      </c>
      <c r="C232" t="s">
        <v>3</v>
      </c>
      <c r="D232" t="s">
        <v>4</v>
      </c>
      <c r="E232" t="s">
        <v>5</v>
      </c>
      <c r="F232" t="s">
        <v>442</v>
      </c>
      <c r="G232" t="s">
        <v>7</v>
      </c>
      <c r="H232" t="s">
        <v>223</v>
      </c>
    </row>
    <row r="233" spans="1:8" x14ac:dyDescent="0.25">
      <c r="A233" t="s">
        <v>0</v>
      </c>
      <c r="B233" t="s">
        <v>211</v>
      </c>
      <c r="C233" t="s">
        <v>215</v>
      </c>
      <c r="D233">
        <v>54</v>
      </c>
      <c r="E233" t="s">
        <v>212</v>
      </c>
      <c r="F233" t="s">
        <v>216</v>
      </c>
      <c r="G233">
        <v>7</v>
      </c>
    </row>
    <row r="234" spans="1:8" x14ac:dyDescent="0.25">
      <c r="A234" t="s">
        <v>0</v>
      </c>
      <c r="B234" t="s">
        <v>14</v>
      </c>
      <c r="C234" t="s">
        <v>15</v>
      </c>
      <c r="D234">
        <v>38</v>
      </c>
      <c r="E234" t="s">
        <v>4</v>
      </c>
      <c r="F234" t="s">
        <v>16</v>
      </c>
      <c r="G234" t="s">
        <v>443</v>
      </c>
    </row>
    <row r="235" spans="1:8" x14ac:dyDescent="0.25">
      <c r="A235" t="s">
        <v>0</v>
      </c>
      <c r="B235" t="s">
        <v>1</v>
      </c>
      <c r="C235" t="s">
        <v>3</v>
      </c>
      <c r="D235" t="s">
        <v>4</v>
      </c>
      <c r="E235" t="s">
        <v>5</v>
      </c>
      <c r="F235" t="s">
        <v>444</v>
      </c>
      <c r="G235" t="s">
        <v>7</v>
      </c>
      <c r="H235" t="s">
        <v>445</v>
      </c>
    </row>
    <row r="236" spans="1:8" x14ac:dyDescent="0.25">
      <c r="A236" t="s">
        <v>0</v>
      </c>
      <c r="B236" t="s">
        <v>211</v>
      </c>
      <c r="C236" t="s">
        <v>215</v>
      </c>
      <c r="D236">
        <v>79</v>
      </c>
      <c r="E236" t="s">
        <v>212</v>
      </c>
      <c r="F236" t="s">
        <v>216</v>
      </c>
      <c r="G236">
        <v>10</v>
      </c>
    </row>
    <row r="237" spans="1:8" x14ac:dyDescent="0.25">
      <c r="A237" t="s">
        <v>0</v>
      </c>
      <c r="B237" t="s">
        <v>217</v>
      </c>
      <c r="C237" t="s">
        <v>218</v>
      </c>
      <c r="D237" t="s">
        <v>219</v>
      </c>
      <c r="E237">
        <v>0</v>
      </c>
      <c r="F237" t="s">
        <v>4</v>
      </c>
      <c r="G237" t="s">
        <v>16</v>
      </c>
      <c r="H237" t="s">
        <v>446</v>
      </c>
    </row>
    <row r="238" spans="1:8" x14ac:dyDescent="0.25">
      <c r="A238" t="s">
        <v>0</v>
      </c>
      <c r="B238" t="s">
        <v>1</v>
      </c>
      <c r="C238" t="s">
        <v>3</v>
      </c>
      <c r="D238" t="s">
        <v>4</v>
      </c>
      <c r="E238" t="s">
        <v>5</v>
      </c>
      <c r="F238" t="s">
        <v>447</v>
      </c>
      <c r="G238" t="s">
        <v>7</v>
      </c>
      <c r="H238" t="s">
        <v>448</v>
      </c>
    </row>
    <row r="239" spans="1:8" x14ac:dyDescent="0.25">
      <c r="A239" t="s">
        <v>0</v>
      </c>
      <c r="B239" t="s">
        <v>211</v>
      </c>
      <c r="C239" t="s">
        <v>215</v>
      </c>
      <c r="D239">
        <v>47</v>
      </c>
      <c r="E239" t="s">
        <v>212</v>
      </c>
      <c r="F239" t="s">
        <v>216</v>
      </c>
      <c r="G239">
        <v>6</v>
      </c>
    </row>
    <row r="240" spans="1:8" x14ac:dyDescent="0.25">
      <c r="A240" t="s">
        <v>0</v>
      </c>
      <c r="B240" t="s">
        <v>14</v>
      </c>
      <c r="C240" t="s">
        <v>15</v>
      </c>
      <c r="D240">
        <v>39</v>
      </c>
      <c r="E240" t="s">
        <v>4</v>
      </c>
      <c r="F240" t="s">
        <v>16</v>
      </c>
      <c r="G240" t="s">
        <v>449</v>
      </c>
    </row>
    <row r="241" spans="1:8" x14ac:dyDescent="0.25">
      <c r="A241" t="s">
        <v>0</v>
      </c>
      <c r="B241" t="s">
        <v>1</v>
      </c>
      <c r="C241" t="s">
        <v>3</v>
      </c>
      <c r="D241" t="s">
        <v>4</v>
      </c>
      <c r="E241" t="s">
        <v>5</v>
      </c>
      <c r="F241" t="s">
        <v>450</v>
      </c>
      <c r="G241" t="s">
        <v>7</v>
      </c>
      <c r="H241" t="s">
        <v>451</v>
      </c>
    </row>
    <row r="242" spans="1:8" x14ac:dyDescent="0.25">
      <c r="A242" t="s">
        <v>0</v>
      </c>
      <c r="B242" t="s">
        <v>211</v>
      </c>
      <c r="C242" t="s">
        <v>215</v>
      </c>
      <c r="D242">
        <v>120</v>
      </c>
      <c r="E242" t="s">
        <v>212</v>
      </c>
      <c r="F242" t="s">
        <v>216</v>
      </c>
      <c r="G242">
        <v>15</v>
      </c>
    </row>
    <row r="243" spans="1:8" x14ac:dyDescent="0.25">
      <c r="A243" t="s">
        <v>0</v>
      </c>
      <c r="B243" t="s">
        <v>217</v>
      </c>
      <c r="C243" t="s">
        <v>218</v>
      </c>
      <c r="D243" t="s">
        <v>219</v>
      </c>
      <c r="E243">
        <v>0</v>
      </c>
      <c r="F243" t="s">
        <v>4</v>
      </c>
      <c r="G243" t="s">
        <v>16</v>
      </c>
      <c r="H243" t="s">
        <v>452</v>
      </c>
    </row>
    <row r="244" spans="1:8" x14ac:dyDescent="0.25">
      <c r="A244" t="s">
        <v>0</v>
      </c>
      <c r="B244" t="s">
        <v>1</v>
      </c>
      <c r="C244" t="s">
        <v>3</v>
      </c>
      <c r="D244" t="s">
        <v>4</v>
      </c>
      <c r="E244" t="s">
        <v>5</v>
      </c>
      <c r="F244" t="s">
        <v>453</v>
      </c>
      <c r="G244" t="s">
        <v>7</v>
      </c>
      <c r="H244" t="s">
        <v>454</v>
      </c>
    </row>
    <row r="245" spans="1:8" x14ac:dyDescent="0.25">
      <c r="A245" t="s">
        <v>0</v>
      </c>
      <c r="B245" t="s">
        <v>211</v>
      </c>
      <c r="C245" t="s">
        <v>215</v>
      </c>
      <c r="D245">
        <v>62</v>
      </c>
      <c r="E245" t="s">
        <v>212</v>
      </c>
      <c r="F245" t="s">
        <v>216</v>
      </c>
      <c r="G245">
        <v>8</v>
      </c>
    </row>
    <row r="246" spans="1:8" x14ac:dyDescent="0.25">
      <c r="A246" t="s">
        <v>0</v>
      </c>
      <c r="B246" t="s">
        <v>14</v>
      </c>
      <c r="C246" t="s">
        <v>15</v>
      </c>
      <c r="D246">
        <v>40</v>
      </c>
      <c r="E246" t="s">
        <v>4</v>
      </c>
      <c r="F246" t="s">
        <v>16</v>
      </c>
      <c r="G246" t="s">
        <v>455</v>
      </c>
    </row>
    <row r="247" spans="1:8" x14ac:dyDescent="0.25">
      <c r="A247" t="s">
        <v>0</v>
      </c>
      <c r="B247" t="s">
        <v>1</v>
      </c>
      <c r="C247" t="s">
        <v>3</v>
      </c>
      <c r="D247" t="s">
        <v>4</v>
      </c>
      <c r="E247" t="s">
        <v>5</v>
      </c>
      <c r="F247" t="s">
        <v>456</v>
      </c>
      <c r="G247" t="s">
        <v>7</v>
      </c>
      <c r="H247" t="s">
        <v>457</v>
      </c>
    </row>
    <row r="248" spans="1:8" x14ac:dyDescent="0.25">
      <c r="A248" t="s">
        <v>0</v>
      </c>
      <c r="B248" t="s">
        <v>211</v>
      </c>
      <c r="C248" t="s">
        <v>215</v>
      </c>
      <c r="D248">
        <v>31</v>
      </c>
      <c r="E248" t="s">
        <v>212</v>
      </c>
      <c r="F248" t="s">
        <v>216</v>
      </c>
      <c r="G248">
        <v>4</v>
      </c>
    </row>
    <row r="249" spans="1:8" x14ac:dyDescent="0.25">
      <c r="A249" t="s">
        <v>0</v>
      </c>
      <c r="B249" t="s">
        <v>217</v>
      </c>
      <c r="C249" t="s">
        <v>218</v>
      </c>
      <c r="D249" t="s">
        <v>219</v>
      </c>
      <c r="E249">
        <v>0</v>
      </c>
      <c r="F249" t="s">
        <v>4</v>
      </c>
      <c r="G249" t="s">
        <v>16</v>
      </c>
      <c r="H249" t="s">
        <v>458</v>
      </c>
    </row>
    <row r="250" spans="1:8" x14ac:dyDescent="0.25">
      <c r="A250" t="s">
        <v>0</v>
      </c>
      <c r="B250" t="s">
        <v>1</v>
      </c>
      <c r="C250" t="s">
        <v>3</v>
      </c>
      <c r="D250" t="s">
        <v>4</v>
      </c>
      <c r="E250" t="s">
        <v>5</v>
      </c>
      <c r="F250" t="s">
        <v>459</v>
      </c>
      <c r="G250" t="s">
        <v>7</v>
      </c>
      <c r="H250" t="s">
        <v>460</v>
      </c>
    </row>
    <row r="251" spans="1:8" x14ac:dyDescent="0.25">
      <c r="A251" t="s">
        <v>0</v>
      </c>
      <c r="B251" t="s">
        <v>211</v>
      </c>
      <c r="C251" t="s">
        <v>215</v>
      </c>
      <c r="D251">
        <v>111</v>
      </c>
      <c r="E251" t="s">
        <v>212</v>
      </c>
      <c r="F251" t="s">
        <v>216</v>
      </c>
      <c r="G251">
        <v>14</v>
      </c>
    </row>
    <row r="252" spans="1:8" x14ac:dyDescent="0.25">
      <c r="A252" t="s">
        <v>0</v>
      </c>
      <c r="B252" t="s">
        <v>14</v>
      </c>
      <c r="C252" t="s">
        <v>15</v>
      </c>
      <c r="D252">
        <v>41</v>
      </c>
      <c r="E252" t="s">
        <v>4</v>
      </c>
      <c r="F252" t="s">
        <v>16</v>
      </c>
      <c r="G252" t="s">
        <v>461</v>
      </c>
    </row>
    <row r="253" spans="1:8" x14ac:dyDescent="0.25">
      <c r="A253" t="s">
        <v>0</v>
      </c>
      <c r="B253" t="s">
        <v>1</v>
      </c>
      <c r="C253" t="s">
        <v>3</v>
      </c>
      <c r="D253" t="s">
        <v>4</v>
      </c>
      <c r="E253" t="s">
        <v>5</v>
      </c>
      <c r="F253" t="s">
        <v>462</v>
      </c>
      <c r="G253" t="s">
        <v>7</v>
      </c>
      <c r="H253" t="s">
        <v>463</v>
      </c>
    </row>
    <row r="254" spans="1:8" x14ac:dyDescent="0.25">
      <c r="A254" t="s">
        <v>0</v>
      </c>
      <c r="B254" t="s">
        <v>211</v>
      </c>
      <c r="C254" t="s">
        <v>215</v>
      </c>
      <c r="D254">
        <v>216</v>
      </c>
      <c r="E254" t="s">
        <v>212</v>
      </c>
      <c r="F254" t="s">
        <v>216</v>
      </c>
      <c r="G254">
        <v>27</v>
      </c>
    </row>
    <row r="255" spans="1:8" x14ac:dyDescent="0.25">
      <c r="A255" t="s">
        <v>0</v>
      </c>
      <c r="B255" t="s">
        <v>217</v>
      </c>
      <c r="C255" t="s">
        <v>218</v>
      </c>
      <c r="D255" t="s">
        <v>219</v>
      </c>
      <c r="E255">
        <v>0</v>
      </c>
      <c r="F255" t="s">
        <v>4</v>
      </c>
      <c r="G255" t="s">
        <v>16</v>
      </c>
      <c r="H255" t="s">
        <v>464</v>
      </c>
    </row>
    <row r="256" spans="1:8" x14ac:dyDescent="0.25">
      <c r="A256" t="s">
        <v>0</v>
      </c>
      <c r="B256" t="s">
        <v>1</v>
      </c>
      <c r="C256" t="s">
        <v>3</v>
      </c>
      <c r="D256" t="s">
        <v>4</v>
      </c>
      <c r="E256" t="s">
        <v>5</v>
      </c>
      <c r="F256" t="s">
        <v>465</v>
      </c>
      <c r="G256" t="s">
        <v>7</v>
      </c>
      <c r="H256" t="s">
        <v>28</v>
      </c>
    </row>
    <row r="257" spans="1:8" x14ac:dyDescent="0.25">
      <c r="A257" t="s">
        <v>0</v>
      </c>
      <c r="B257" t="s">
        <v>211</v>
      </c>
      <c r="C257" t="s">
        <v>215</v>
      </c>
      <c r="D257">
        <v>22</v>
      </c>
      <c r="E257" t="s">
        <v>212</v>
      </c>
      <c r="F257" t="s">
        <v>216</v>
      </c>
      <c r="G257">
        <v>3</v>
      </c>
    </row>
    <row r="258" spans="1:8" x14ac:dyDescent="0.25">
      <c r="A258" t="s">
        <v>0</v>
      </c>
      <c r="B258" t="s">
        <v>14</v>
      </c>
      <c r="C258" t="s">
        <v>15</v>
      </c>
      <c r="D258">
        <v>42</v>
      </c>
      <c r="E258" t="s">
        <v>4</v>
      </c>
      <c r="F258" t="s">
        <v>16</v>
      </c>
      <c r="G258" t="s">
        <v>466</v>
      </c>
    </row>
    <row r="259" spans="1:8" x14ac:dyDescent="0.25">
      <c r="A259" t="s">
        <v>0</v>
      </c>
      <c r="B259" t="s">
        <v>1</v>
      </c>
      <c r="C259" t="s">
        <v>3</v>
      </c>
      <c r="D259" t="s">
        <v>4</v>
      </c>
      <c r="E259" t="s">
        <v>5</v>
      </c>
      <c r="F259" t="s">
        <v>467</v>
      </c>
      <c r="G259" t="s">
        <v>7</v>
      </c>
      <c r="H259" t="s">
        <v>468</v>
      </c>
    </row>
    <row r="260" spans="1:8" x14ac:dyDescent="0.25">
      <c r="A260" t="s">
        <v>0</v>
      </c>
      <c r="B260" t="s">
        <v>211</v>
      </c>
      <c r="C260" t="s">
        <v>215</v>
      </c>
      <c r="D260">
        <v>207</v>
      </c>
      <c r="E260" t="s">
        <v>212</v>
      </c>
      <c r="F260" t="s">
        <v>216</v>
      </c>
      <c r="G260">
        <v>26</v>
      </c>
    </row>
    <row r="261" spans="1:8" x14ac:dyDescent="0.25">
      <c r="A261" t="s">
        <v>0</v>
      </c>
      <c r="B261" t="s">
        <v>217</v>
      </c>
      <c r="C261" t="s">
        <v>218</v>
      </c>
      <c r="D261" t="s">
        <v>219</v>
      </c>
      <c r="E261">
        <v>0</v>
      </c>
      <c r="F261" t="s">
        <v>4</v>
      </c>
      <c r="G261" t="s">
        <v>16</v>
      </c>
      <c r="H261" t="s">
        <v>469</v>
      </c>
    </row>
    <row r="262" spans="1:8" x14ac:dyDescent="0.25">
      <c r="A262" t="s">
        <v>0</v>
      </c>
      <c r="B262" t="s">
        <v>1</v>
      </c>
      <c r="C262" t="s">
        <v>3</v>
      </c>
      <c r="D262" t="s">
        <v>4</v>
      </c>
      <c r="E262" t="s">
        <v>5</v>
      </c>
      <c r="F262" t="s">
        <v>470</v>
      </c>
      <c r="G262" t="s">
        <v>7</v>
      </c>
      <c r="H262" t="s">
        <v>471</v>
      </c>
    </row>
    <row r="263" spans="1:8" x14ac:dyDescent="0.25">
      <c r="A263" t="s">
        <v>0</v>
      </c>
      <c r="B263" t="s">
        <v>211</v>
      </c>
      <c r="C263" t="s">
        <v>215</v>
      </c>
      <c r="D263">
        <v>167</v>
      </c>
      <c r="E263" t="s">
        <v>212</v>
      </c>
      <c r="F263" t="s">
        <v>216</v>
      </c>
      <c r="G263">
        <v>21</v>
      </c>
    </row>
    <row r="264" spans="1:8" x14ac:dyDescent="0.25">
      <c r="A264" t="s">
        <v>0</v>
      </c>
      <c r="B264" t="s">
        <v>14</v>
      </c>
      <c r="C264" t="s">
        <v>15</v>
      </c>
      <c r="D264">
        <v>43</v>
      </c>
      <c r="E264" t="s">
        <v>4</v>
      </c>
      <c r="F264" t="s">
        <v>16</v>
      </c>
      <c r="G264" t="s">
        <v>472</v>
      </c>
    </row>
    <row r="265" spans="1:8" x14ac:dyDescent="0.25">
      <c r="A265" t="s">
        <v>0</v>
      </c>
      <c r="B265" t="s">
        <v>1</v>
      </c>
      <c r="C265" t="s">
        <v>3</v>
      </c>
      <c r="D265" t="s">
        <v>4</v>
      </c>
      <c r="E265" t="s">
        <v>5</v>
      </c>
      <c r="F265" t="s">
        <v>473</v>
      </c>
      <c r="G265" t="s">
        <v>7</v>
      </c>
      <c r="H265" t="s">
        <v>474</v>
      </c>
    </row>
    <row r="266" spans="1:8" x14ac:dyDescent="0.25">
      <c r="A266" t="s">
        <v>0</v>
      </c>
      <c r="B266" t="s">
        <v>211</v>
      </c>
      <c r="C266" t="s">
        <v>215</v>
      </c>
      <c r="D266">
        <v>6</v>
      </c>
      <c r="E266" t="s">
        <v>212</v>
      </c>
      <c r="F266" t="s">
        <v>216</v>
      </c>
      <c r="G266">
        <v>1</v>
      </c>
    </row>
    <row r="267" spans="1:8" x14ac:dyDescent="0.25">
      <c r="A267" t="s">
        <v>0</v>
      </c>
      <c r="B267" t="s">
        <v>217</v>
      </c>
      <c r="C267" t="s">
        <v>218</v>
      </c>
      <c r="D267" t="s">
        <v>219</v>
      </c>
      <c r="E267">
        <v>0</v>
      </c>
      <c r="F267" t="s">
        <v>4</v>
      </c>
      <c r="G267" t="s">
        <v>16</v>
      </c>
      <c r="H267" t="s">
        <v>475</v>
      </c>
    </row>
    <row r="268" spans="1:8" x14ac:dyDescent="0.25">
      <c r="A268" t="s">
        <v>0</v>
      </c>
      <c r="B268" t="s">
        <v>1</v>
      </c>
      <c r="C268" t="s">
        <v>3</v>
      </c>
      <c r="D268" t="s">
        <v>4</v>
      </c>
      <c r="E268" t="s">
        <v>5</v>
      </c>
      <c r="F268" t="s">
        <v>476</v>
      </c>
      <c r="G268" t="s">
        <v>7</v>
      </c>
      <c r="H268" t="s">
        <v>477</v>
      </c>
    </row>
    <row r="269" spans="1:8" x14ac:dyDescent="0.25">
      <c r="A269" t="s">
        <v>0</v>
      </c>
      <c r="B269" t="s">
        <v>211</v>
      </c>
      <c r="C269" t="s">
        <v>215</v>
      </c>
      <c r="D269">
        <v>48</v>
      </c>
      <c r="E269" t="s">
        <v>212</v>
      </c>
      <c r="F269" t="s">
        <v>216</v>
      </c>
      <c r="G269">
        <v>6</v>
      </c>
    </row>
    <row r="270" spans="1:8" x14ac:dyDescent="0.25">
      <c r="A270" t="s">
        <v>0</v>
      </c>
      <c r="B270" t="s">
        <v>14</v>
      </c>
      <c r="C270" t="s">
        <v>15</v>
      </c>
      <c r="D270">
        <v>44</v>
      </c>
      <c r="E270" t="s">
        <v>4</v>
      </c>
      <c r="F270" t="s">
        <v>16</v>
      </c>
      <c r="G270" t="s">
        <v>478</v>
      </c>
    </row>
    <row r="271" spans="1:8" x14ac:dyDescent="0.25">
      <c r="A271" t="s">
        <v>0</v>
      </c>
      <c r="B271" t="s">
        <v>1</v>
      </c>
      <c r="C271" t="s">
        <v>3</v>
      </c>
      <c r="D271" t="s">
        <v>4</v>
      </c>
      <c r="E271" t="s">
        <v>5</v>
      </c>
      <c r="F271" t="s">
        <v>479</v>
      </c>
      <c r="G271" t="s">
        <v>7</v>
      </c>
      <c r="H271" t="s">
        <v>480</v>
      </c>
    </row>
    <row r="272" spans="1:8" x14ac:dyDescent="0.25">
      <c r="A272" t="s">
        <v>0</v>
      </c>
      <c r="B272" t="s">
        <v>211</v>
      </c>
      <c r="C272" t="s">
        <v>215</v>
      </c>
      <c r="D272">
        <v>239</v>
      </c>
      <c r="E272" t="s">
        <v>212</v>
      </c>
      <c r="F272" t="s">
        <v>216</v>
      </c>
      <c r="G272">
        <v>30</v>
      </c>
    </row>
    <row r="273" spans="1:8" x14ac:dyDescent="0.25">
      <c r="A273" t="s">
        <v>0</v>
      </c>
      <c r="B273" t="s">
        <v>217</v>
      </c>
      <c r="C273" t="s">
        <v>218</v>
      </c>
      <c r="D273" t="s">
        <v>219</v>
      </c>
      <c r="E273">
        <v>0</v>
      </c>
      <c r="F273" t="s">
        <v>4</v>
      </c>
      <c r="G273" t="s">
        <v>16</v>
      </c>
      <c r="H273" t="s">
        <v>481</v>
      </c>
    </row>
    <row r="274" spans="1:8" x14ac:dyDescent="0.25">
      <c r="A274" t="s">
        <v>0</v>
      </c>
      <c r="B274" t="s">
        <v>1</v>
      </c>
      <c r="C274" t="s">
        <v>3</v>
      </c>
      <c r="D274" t="s">
        <v>4</v>
      </c>
      <c r="E274" t="s">
        <v>5</v>
      </c>
      <c r="F274" t="s">
        <v>482</v>
      </c>
      <c r="G274" t="s">
        <v>7</v>
      </c>
      <c r="H274" t="s">
        <v>483</v>
      </c>
    </row>
    <row r="275" spans="1:8" x14ac:dyDescent="0.25">
      <c r="A275" t="s">
        <v>0</v>
      </c>
      <c r="B275" t="s">
        <v>211</v>
      </c>
      <c r="C275" t="s">
        <v>215</v>
      </c>
      <c r="D275">
        <v>167</v>
      </c>
      <c r="E275" t="s">
        <v>212</v>
      </c>
      <c r="F275" t="s">
        <v>216</v>
      </c>
      <c r="G275">
        <v>21</v>
      </c>
    </row>
    <row r="276" spans="1:8" x14ac:dyDescent="0.25">
      <c r="A276" t="s">
        <v>0</v>
      </c>
      <c r="B276" t="s">
        <v>14</v>
      </c>
      <c r="C276" t="s">
        <v>15</v>
      </c>
      <c r="D276">
        <v>45</v>
      </c>
      <c r="E276" t="s">
        <v>4</v>
      </c>
      <c r="F276" t="s">
        <v>16</v>
      </c>
      <c r="G276" t="s">
        <v>484</v>
      </c>
    </row>
    <row r="277" spans="1:8" x14ac:dyDescent="0.25">
      <c r="A277" t="s">
        <v>0</v>
      </c>
      <c r="B277" t="s">
        <v>1</v>
      </c>
      <c r="C277" t="s">
        <v>3</v>
      </c>
      <c r="D277" t="s">
        <v>4</v>
      </c>
      <c r="E277" t="s">
        <v>5</v>
      </c>
      <c r="F277" t="s">
        <v>485</v>
      </c>
      <c r="G277" t="s">
        <v>7</v>
      </c>
      <c r="H277" t="s">
        <v>486</v>
      </c>
    </row>
    <row r="278" spans="1:8" x14ac:dyDescent="0.25">
      <c r="A278" t="s">
        <v>0</v>
      </c>
      <c r="B278" t="s">
        <v>211</v>
      </c>
      <c r="C278" t="s">
        <v>215</v>
      </c>
      <c r="D278">
        <v>88</v>
      </c>
      <c r="E278" t="s">
        <v>212</v>
      </c>
      <c r="F278" t="s">
        <v>216</v>
      </c>
      <c r="G278">
        <v>11</v>
      </c>
    </row>
    <row r="279" spans="1:8" x14ac:dyDescent="0.25">
      <c r="A279" t="s">
        <v>0</v>
      </c>
      <c r="B279" t="s">
        <v>217</v>
      </c>
      <c r="C279" t="s">
        <v>218</v>
      </c>
      <c r="D279" t="s">
        <v>219</v>
      </c>
      <c r="E279">
        <v>0</v>
      </c>
      <c r="F279" t="s">
        <v>4</v>
      </c>
      <c r="G279" t="s">
        <v>16</v>
      </c>
      <c r="H279" t="s">
        <v>487</v>
      </c>
    </row>
    <row r="280" spans="1:8" x14ac:dyDescent="0.25">
      <c r="A280" t="s">
        <v>0</v>
      </c>
      <c r="B280" t="s">
        <v>1</v>
      </c>
      <c r="C280" t="s">
        <v>3</v>
      </c>
      <c r="D280" t="s">
        <v>4</v>
      </c>
      <c r="E280" t="s">
        <v>5</v>
      </c>
      <c r="F280" t="s">
        <v>488</v>
      </c>
      <c r="G280" t="s">
        <v>7</v>
      </c>
      <c r="H280" t="s">
        <v>489</v>
      </c>
    </row>
    <row r="281" spans="1:8" x14ac:dyDescent="0.25">
      <c r="A281" t="s">
        <v>0</v>
      </c>
      <c r="B281" t="s">
        <v>211</v>
      </c>
      <c r="C281" t="s">
        <v>215</v>
      </c>
      <c r="D281">
        <v>182</v>
      </c>
      <c r="E281" t="s">
        <v>212</v>
      </c>
      <c r="F281" t="s">
        <v>216</v>
      </c>
      <c r="G281">
        <v>23</v>
      </c>
    </row>
    <row r="282" spans="1:8" x14ac:dyDescent="0.25">
      <c r="A282" t="s">
        <v>0</v>
      </c>
      <c r="B282" t="s">
        <v>14</v>
      </c>
      <c r="C282" t="s">
        <v>15</v>
      </c>
      <c r="D282">
        <v>46</v>
      </c>
      <c r="E282" t="s">
        <v>4</v>
      </c>
      <c r="F282" t="s">
        <v>16</v>
      </c>
      <c r="G282" t="s">
        <v>490</v>
      </c>
    </row>
    <row r="283" spans="1:8" x14ac:dyDescent="0.25">
      <c r="A283" t="s">
        <v>0</v>
      </c>
      <c r="B283" t="s">
        <v>1</v>
      </c>
      <c r="C283" t="s">
        <v>3</v>
      </c>
      <c r="D283" t="s">
        <v>4</v>
      </c>
      <c r="E283" t="s">
        <v>5</v>
      </c>
      <c r="F283" t="s">
        <v>491</v>
      </c>
      <c r="G283" t="s">
        <v>7</v>
      </c>
      <c r="H283" t="s">
        <v>492</v>
      </c>
    </row>
    <row r="284" spans="1:8" x14ac:dyDescent="0.25">
      <c r="A284" t="s">
        <v>0</v>
      </c>
      <c r="B284" t="s">
        <v>211</v>
      </c>
      <c r="C284" t="s">
        <v>215</v>
      </c>
      <c r="D284">
        <v>95</v>
      </c>
      <c r="E284" t="s">
        <v>212</v>
      </c>
      <c r="F284" t="s">
        <v>216</v>
      </c>
      <c r="G284">
        <v>12</v>
      </c>
    </row>
    <row r="285" spans="1:8" x14ac:dyDescent="0.25">
      <c r="A285" t="s">
        <v>0</v>
      </c>
      <c r="B285" t="s">
        <v>217</v>
      </c>
      <c r="C285" t="s">
        <v>218</v>
      </c>
      <c r="D285" t="s">
        <v>219</v>
      </c>
      <c r="E285">
        <v>0</v>
      </c>
      <c r="F285" t="s">
        <v>4</v>
      </c>
      <c r="G285" t="s">
        <v>16</v>
      </c>
      <c r="H285" t="s">
        <v>493</v>
      </c>
    </row>
    <row r="286" spans="1:8" x14ac:dyDescent="0.25">
      <c r="A286" t="s">
        <v>0</v>
      </c>
      <c r="B286" t="s">
        <v>1</v>
      </c>
      <c r="C286" t="s">
        <v>3</v>
      </c>
      <c r="D286" t="s">
        <v>4</v>
      </c>
      <c r="E286" t="s">
        <v>5</v>
      </c>
      <c r="F286" t="s">
        <v>494</v>
      </c>
      <c r="G286" t="s">
        <v>7</v>
      </c>
      <c r="H286" t="s">
        <v>495</v>
      </c>
    </row>
    <row r="287" spans="1:8" x14ac:dyDescent="0.25">
      <c r="A287" t="s">
        <v>0</v>
      </c>
      <c r="B287" t="s">
        <v>211</v>
      </c>
      <c r="C287" t="s">
        <v>215</v>
      </c>
      <c r="D287">
        <v>47</v>
      </c>
      <c r="E287" t="s">
        <v>212</v>
      </c>
      <c r="F287" t="s">
        <v>216</v>
      </c>
      <c r="G287">
        <v>6</v>
      </c>
    </row>
    <row r="288" spans="1:8" x14ac:dyDescent="0.25">
      <c r="A288" t="s">
        <v>0</v>
      </c>
      <c r="B288" t="s">
        <v>14</v>
      </c>
      <c r="C288" t="s">
        <v>15</v>
      </c>
      <c r="D288">
        <v>47</v>
      </c>
      <c r="E288" t="s">
        <v>4</v>
      </c>
      <c r="F288" t="s">
        <v>16</v>
      </c>
      <c r="G288" t="s">
        <v>496</v>
      </c>
    </row>
    <row r="289" spans="1:8" x14ac:dyDescent="0.25">
      <c r="A289" t="s">
        <v>0</v>
      </c>
      <c r="B289" t="s">
        <v>1</v>
      </c>
      <c r="C289" t="s">
        <v>3</v>
      </c>
      <c r="D289" t="s">
        <v>4</v>
      </c>
      <c r="E289" t="s">
        <v>5</v>
      </c>
      <c r="F289" t="s">
        <v>497</v>
      </c>
      <c r="G289" t="s">
        <v>7</v>
      </c>
      <c r="H289" t="s">
        <v>498</v>
      </c>
    </row>
    <row r="290" spans="1:8" x14ac:dyDescent="0.25">
      <c r="A290" t="s">
        <v>0</v>
      </c>
      <c r="B290" t="s">
        <v>211</v>
      </c>
      <c r="C290" t="s">
        <v>215</v>
      </c>
      <c r="D290">
        <v>232</v>
      </c>
      <c r="E290" t="s">
        <v>212</v>
      </c>
      <c r="F290" t="s">
        <v>216</v>
      </c>
      <c r="G290">
        <v>29</v>
      </c>
    </row>
    <row r="291" spans="1:8" x14ac:dyDescent="0.25">
      <c r="A291" t="s">
        <v>0</v>
      </c>
      <c r="B291" t="s">
        <v>217</v>
      </c>
      <c r="C291" t="s">
        <v>218</v>
      </c>
      <c r="D291" t="s">
        <v>219</v>
      </c>
      <c r="E291">
        <v>0</v>
      </c>
      <c r="F291" t="s">
        <v>4</v>
      </c>
      <c r="G291" t="s">
        <v>16</v>
      </c>
      <c r="H291" t="s">
        <v>499</v>
      </c>
    </row>
    <row r="292" spans="1:8" x14ac:dyDescent="0.25">
      <c r="A292" t="s">
        <v>0</v>
      </c>
      <c r="B292" t="s">
        <v>1</v>
      </c>
      <c r="C292" t="s">
        <v>3</v>
      </c>
      <c r="D292" t="s">
        <v>4</v>
      </c>
      <c r="E292" t="s">
        <v>5</v>
      </c>
      <c r="F292" t="s">
        <v>500</v>
      </c>
      <c r="G292" t="s">
        <v>7</v>
      </c>
      <c r="H292" t="s">
        <v>501</v>
      </c>
    </row>
    <row r="293" spans="1:8" x14ac:dyDescent="0.25">
      <c r="A293" t="s">
        <v>0</v>
      </c>
      <c r="B293" t="s">
        <v>211</v>
      </c>
      <c r="C293" t="s">
        <v>215</v>
      </c>
      <c r="D293">
        <v>214</v>
      </c>
      <c r="E293" t="s">
        <v>212</v>
      </c>
      <c r="F293" t="s">
        <v>216</v>
      </c>
      <c r="G293">
        <v>27</v>
      </c>
    </row>
    <row r="294" spans="1:8" x14ac:dyDescent="0.25">
      <c r="A294" t="s">
        <v>0</v>
      </c>
      <c r="B294" t="s">
        <v>14</v>
      </c>
      <c r="C294" t="s">
        <v>15</v>
      </c>
      <c r="D294">
        <v>48</v>
      </c>
      <c r="E294" t="s">
        <v>4</v>
      </c>
      <c r="F294" t="s">
        <v>16</v>
      </c>
      <c r="G294" t="s">
        <v>502</v>
      </c>
    </row>
    <row r="295" spans="1:8" x14ac:dyDescent="0.25">
      <c r="A295" t="s">
        <v>0</v>
      </c>
      <c r="B295" t="s">
        <v>1</v>
      </c>
      <c r="C295" t="s">
        <v>3</v>
      </c>
      <c r="D295" t="s">
        <v>4</v>
      </c>
      <c r="E295" t="s">
        <v>5</v>
      </c>
      <c r="F295" t="s">
        <v>503</v>
      </c>
      <c r="G295" t="s">
        <v>7</v>
      </c>
      <c r="H295" t="s">
        <v>504</v>
      </c>
    </row>
    <row r="296" spans="1:8" x14ac:dyDescent="0.25">
      <c r="A296" t="s">
        <v>0</v>
      </c>
      <c r="B296" t="s">
        <v>211</v>
      </c>
      <c r="C296" t="s">
        <v>215</v>
      </c>
      <c r="D296">
        <v>103</v>
      </c>
      <c r="E296" t="s">
        <v>212</v>
      </c>
      <c r="F296" t="s">
        <v>216</v>
      </c>
      <c r="G296">
        <v>13</v>
      </c>
    </row>
    <row r="297" spans="1:8" x14ac:dyDescent="0.25">
      <c r="A297" t="s">
        <v>0</v>
      </c>
      <c r="B297" t="s">
        <v>217</v>
      </c>
      <c r="C297" t="s">
        <v>218</v>
      </c>
      <c r="D297" t="s">
        <v>219</v>
      </c>
      <c r="E297">
        <v>0</v>
      </c>
      <c r="F297" t="s">
        <v>4</v>
      </c>
      <c r="G297" t="s">
        <v>16</v>
      </c>
      <c r="H297" t="s">
        <v>505</v>
      </c>
    </row>
    <row r="298" spans="1:8" x14ac:dyDescent="0.25">
      <c r="A298" t="s">
        <v>0</v>
      </c>
      <c r="B298" t="s">
        <v>1</v>
      </c>
      <c r="C298" t="s">
        <v>3</v>
      </c>
      <c r="D298" t="s">
        <v>4</v>
      </c>
      <c r="E298" t="s">
        <v>5</v>
      </c>
      <c r="F298" t="s">
        <v>506</v>
      </c>
      <c r="G298" t="s">
        <v>7</v>
      </c>
      <c r="H298" t="s">
        <v>507</v>
      </c>
    </row>
    <row r="299" spans="1:8" x14ac:dyDescent="0.25">
      <c r="A299" t="s">
        <v>0</v>
      </c>
      <c r="B299" t="s">
        <v>211</v>
      </c>
      <c r="C299" t="s">
        <v>215</v>
      </c>
      <c r="D299">
        <v>151</v>
      </c>
      <c r="E299" t="s">
        <v>212</v>
      </c>
      <c r="F299" t="s">
        <v>216</v>
      </c>
      <c r="G299">
        <v>19</v>
      </c>
    </row>
    <row r="300" spans="1:8" x14ac:dyDescent="0.25">
      <c r="A300" t="s">
        <v>0</v>
      </c>
      <c r="B300" t="s">
        <v>14</v>
      </c>
      <c r="C300" t="s">
        <v>15</v>
      </c>
      <c r="D300">
        <v>49</v>
      </c>
      <c r="E300" t="s">
        <v>4</v>
      </c>
      <c r="F300" t="s">
        <v>16</v>
      </c>
      <c r="G300" t="s">
        <v>508</v>
      </c>
    </row>
    <row r="301" spans="1:8" x14ac:dyDescent="0.25">
      <c r="A301" t="s">
        <v>0</v>
      </c>
      <c r="B301" t="s">
        <v>1</v>
      </c>
      <c r="C301" t="s">
        <v>3</v>
      </c>
      <c r="D301" t="s">
        <v>4</v>
      </c>
      <c r="E301" t="s">
        <v>5</v>
      </c>
      <c r="F301" t="s">
        <v>509</v>
      </c>
      <c r="G301" t="s">
        <v>7</v>
      </c>
      <c r="H301" t="s">
        <v>510</v>
      </c>
    </row>
    <row r="302" spans="1:8" x14ac:dyDescent="0.25">
      <c r="A302" t="s">
        <v>0</v>
      </c>
      <c r="B302" t="s">
        <v>211</v>
      </c>
      <c r="C302" t="s">
        <v>215</v>
      </c>
      <c r="D302">
        <v>224</v>
      </c>
      <c r="E302" t="s">
        <v>212</v>
      </c>
      <c r="F302" t="s">
        <v>216</v>
      </c>
      <c r="G302">
        <v>28</v>
      </c>
    </row>
    <row r="303" spans="1:8" x14ac:dyDescent="0.25">
      <c r="A303" t="s">
        <v>0</v>
      </c>
      <c r="B303" t="s">
        <v>217</v>
      </c>
      <c r="C303" t="s">
        <v>218</v>
      </c>
      <c r="D303" t="s">
        <v>219</v>
      </c>
      <c r="E303">
        <v>0</v>
      </c>
      <c r="F303" t="s">
        <v>4</v>
      </c>
      <c r="G303" t="s">
        <v>16</v>
      </c>
      <c r="H303" t="s">
        <v>511</v>
      </c>
    </row>
    <row r="304" spans="1:8" x14ac:dyDescent="0.25">
      <c r="A304" t="s">
        <v>0</v>
      </c>
      <c r="B304" t="s">
        <v>1</v>
      </c>
      <c r="C304" t="s">
        <v>3</v>
      </c>
      <c r="D304" t="s">
        <v>4</v>
      </c>
      <c r="E304" t="s">
        <v>5</v>
      </c>
      <c r="F304" t="s">
        <v>512</v>
      </c>
      <c r="G304" t="s">
        <v>7</v>
      </c>
      <c r="H304" t="s">
        <v>513</v>
      </c>
    </row>
    <row r="305" spans="1:8" x14ac:dyDescent="0.25">
      <c r="A305" t="s">
        <v>0</v>
      </c>
      <c r="B305" t="s">
        <v>211</v>
      </c>
      <c r="C305" t="s">
        <v>215</v>
      </c>
      <c r="D305">
        <v>62</v>
      </c>
      <c r="E305" t="s">
        <v>212</v>
      </c>
      <c r="F305" t="s">
        <v>216</v>
      </c>
      <c r="G305">
        <v>8</v>
      </c>
    </row>
    <row r="306" spans="1:8" x14ac:dyDescent="0.25">
      <c r="A306" t="s">
        <v>0</v>
      </c>
      <c r="B306" t="s">
        <v>14</v>
      </c>
      <c r="C306" t="s">
        <v>15</v>
      </c>
      <c r="D306">
        <v>50</v>
      </c>
      <c r="E306" t="s">
        <v>4</v>
      </c>
      <c r="F306" t="s">
        <v>16</v>
      </c>
      <c r="G306" t="s">
        <v>514</v>
      </c>
    </row>
    <row r="307" spans="1:8" x14ac:dyDescent="0.25">
      <c r="A307" t="s">
        <v>0</v>
      </c>
      <c r="B307" t="s">
        <v>1</v>
      </c>
      <c r="C307" t="s">
        <v>3</v>
      </c>
      <c r="D307" t="s">
        <v>4</v>
      </c>
      <c r="E307" t="s">
        <v>5</v>
      </c>
      <c r="F307" t="s">
        <v>515</v>
      </c>
      <c r="G307" t="s">
        <v>7</v>
      </c>
      <c r="H307" t="s">
        <v>516</v>
      </c>
    </row>
    <row r="308" spans="1:8" x14ac:dyDescent="0.25">
      <c r="A308" t="s">
        <v>0</v>
      </c>
      <c r="B308" t="s">
        <v>211</v>
      </c>
      <c r="C308" t="s">
        <v>215</v>
      </c>
      <c r="D308">
        <v>135</v>
      </c>
      <c r="E308" t="s">
        <v>212</v>
      </c>
      <c r="F308" t="s">
        <v>216</v>
      </c>
      <c r="G308">
        <v>17</v>
      </c>
    </row>
    <row r="309" spans="1:8" x14ac:dyDescent="0.25">
      <c r="A309" t="s">
        <v>0</v>
      </c>
      <c r="B309" t="s">
        <v>217</v>
      </c>
      <c r="C309" t="s">
        <v>218</v>
      </c>
      <c r="D309" t="s">
        <v>219</v>
      </c>
      <c r="E309">
        <v>0</v>
      </c>
      <c r="F309" t="s">
        <v>4</v>
      </c>
      <c r="G309" t="s">
        <v>16</v>
      </c>
      <c r="H309" t="s">
        <v>517</v>
      </c>
    </row>
    <row r="310" spans="1:8" x14ac:dyDescent="0.25">
      <c r="A310" t="s">
        <v>0</v>
      </c>
      <c r="B310" t="s">
        <v>1</v>
      </c>
      <c r="C310" t="s">
        <v>3</v>
      </c>
      <c r="D310" t="s">
        <v>4</v>
      </c>
      <c r="E310" t="s">
        <v>5</v>
      </c>
      <c r="F310" t="s">
        <v>518</v>
      </c>
      <c r="G310" t="s">
        <v>7</v>
      </c>
      <c r="H310" t="s">
        <v>519</v>
      </c>
    </row>
    <row r="311" spans="1:8" x14ac:dyDescent="0.25">
      <c r="A311" t="s">
        <v>0</v>
      </c>
      <c r="B311" t="s">
        <v>211</v>
      </c>
      <c r="C311" t="s">
        <v>215</v>
      </c>
      <c r="D311">
        <v>215</v>
      </c>
      <c r="E311" t="s">
        <v>212</v>
      </c>
      <c r="F311" t="s">
        <v>216</v>
      </c>
      <c r="G311">
        <v>27</v>
      </c>
    </row>
    <row r="312" spans="1:8" x14ac:dyDescent="0.25">
      <c r="A312" t="s">
        <v>0</v>
      </c>
      <c r="B312" t="s">
        <v>14</v>
      </c>
      <c r="C312" t="s">
        <v>15</v>
      </c>
      <c r="D312">
        <v>51</v>
      </c>
      <c r="E312" t="s">
        <v>4</v>
      </c>
      <c r="F312" t="s">
        <v>16</v>
      </c>
      <c r="G312" t="s">
        <v>520</v>
      </c>
    </row>
    <row r="313" spans="1:8" x14ac:dyDescent="0.25">
      <c r="A313" t="s">
        <v>0</v>
      </c>
      <c r="B313" t="s">
        <v>1</v>
      </c>
      <c r="C313" t="s">
        <v>3</v>
      </c>
      <c r="D313" t="s">
        <v>4</v>
      </c>
      <c r="E313" t="s">
        <v>5</v>
      </c>
      <c r="F313" t="s">
        <v>521</v>
      </c>
      <c r="G313" t="s">
        <v>7</v>
      </c>
      <c r="H313" t="s">
        <v>522</v>
      </c>
    </row>
    <row r="314" spans="1:8" x14ac:dyDescent="0.25">
      <c r="A314" t="s">
        <v>0</v>
      </c>
      <c r="B314" t="s">
        <v>211</v>
      </c>
      <c r="C314" t="s">
        <v>215</v>
      </c>
      <c r="D314">
        <v>6</v>
      </c>
      <c r="E314" t="s">
        <v>212</v>
      </c>
      <c r="F314" t="s">
        <v>216</v>
      </c>
      <c r="G314">
        <v>1</v>
      </c>
    </row>
    <row r="315" spans="1:8" x14ac:dyDescent="0.25">
      <c r="A315" t="s">
        <v>0</v>
      </c>
      <c r="B315" t="s">
        <v>217</v>
      </c>
      <c r="C315" t="s">
        <v>218</v>
      </c>
      <c r="D315" t="s">
        <v>219</v>
      </c>
      <c r="E315">
        <v>0</v>
      </c>
      <c r="F315" t="s">
        <v>4</v>
      </c>
      <c r="G315" t="s">
        <v>16</v>
      </c>
      <c r="H315" t="s">
        <v>523</v>
      </c>
    </row>
    <row r="316" spans="1:8" x14ac:dyDescent="0.25">
      <c r="A316" t="s">
        <v>0</v>
      </c>
      <c r="B316" t="s">
        <v>1</v>
      </c>
      <c r="C316" t="s">
        <v>3</v>
      </c>
      <c r="D316" t="s">
        <v>4</v>
      </c>
      <c r="E316" t="s">
        <v>5</v>
      </c>
      <c r="F316" t="s">
        <v>524</v>
      </c>
      <c r="G316" t="s">
        <v>7</v>
      </c>
      <c r="H316" t="s">
        <v>525</v>
      </c>
    </row>
    <row r="317" spans="1:8" x14ac:dyDescent="0.25">
      <c r="A317" t="s">
        <v>0</v>
      </c>
      <c r="B317" t="s">
        <v>211</v>
      </c>
      <c r="C317" t="s">
        <v>215</v>
      </c>
      <c r="D317">
        <v>56</v>
      </c>
      <c r="E317" t="s">
        <v>212</v>
      </c>
      <c r="F317" t="s">
        <v>216</v>
      </c>
      <c r="G317">
        <v>7</v>
      </c>
    </row>
    <row r="318" spans="1:8" x14ac:dyDescent="0.25">
      <c r="A318" t="s">
        <v>0</v>
      </c>
      <c r="B318" t="s">
        <v>14</v>
      </c>
      <c r="C318" t="s">
        <v>15</v>
      </c>
      <c r="D318">
        <v>52</v>
      </c>
      <c r="E318" t="s">
        <v>4</v>
      </c>
      <c r="F318" t="s">
        <v>16</v>
      </c>
      <c r="G318" t="s">
        <v>526</v>
      </c>
    </row>
    <row r="319" spans="1:8" x14ac:dyDescent="0.25">
      <c r="A319" t="s">
        <v>0</v>
      </c>
      <c r="B319" t="s">
        <v>1</v>
      </c>
      <c r="C319" t="s">
        <v>3</v>
      </c>
      <c r="D319" t="s">
        <v>4</v>
      </c>
      <c r="E319" t="s">
        <v>5</v>
      </c>
      <c r="F319" t="s">
        <v>527</v>
      </c>
      <c r="G319" t="s">
        <v>7</v>
      </c>
      <c r="H319" t="s">
        <v>528</v>
      </c>
    </row>
    <row r="320" spans="1:8" x14ac:dyDescent="0.25">
      <c r="A320" t="s">
        <v>0</v>
      </c>
      <c r="B320" t="s">
        <v>211</v>
      </c>
      <c r="C320" t="s">
        <v>215</v>
      </c>
      <c r="D320">
        <v>55</v>
      </c>
      <c r="E320" t="s">
        <v>212</v>
      </c>
      <c r="F320" t="s">
        <v>216</v>
      </c>
      <c r="G320">
        <v>7</v>
      </c>
    </row>
    <row r="321" spans="1:8" x14ac:dyDescent="0.25">
      <c r="A321" t="s">
        <v>0</v>
      </c>
      <c r="B321" t="s">
        <v>217</v>
      </c>
      <c r="C321" t="s">
        <v>218</v>
      </c>
      <c r="D321" t="s">
        <v>219</v>
      </c>
      <c r="E321">
        <v>0</v>
      </c>
      <c r="F321" t="s">
        <v>4</v>
      </c>
      <c r="G321" t="s">
        <v>16</v>
      </c>
      <c r="H321" t="s">
        <v>529</v>
      </c>
    </row>
    <row r="322" spans="1:8" x14ac:dyDescent="0.25">
      <c r="A322" t="s">
        <v>0</v>
      </c>
      <c r="B322" t="s">
        <v>1</v>
      </c>
      <c r="C322" t="s">
        <v>3</v>
      </c>
      <c r="D322" t="s">
        <v>4</v>
      </c>
      <c r="E322" t="s">
        <v>5</v>
      </c>
      <c r="F322" t="s">
        <v>530</v>
      </c>
      <c r="G322" t="s">
        <v>7</v>
      </c>
      <c r="H322" t="s">
        <v>531</v>
      </c>
    </row>
    <row r="323" spans="1:8" x14ac:dyDescent="0.25">
      <c r="A323" t="s">
        <v>0</v>
      </c>
      <c r="B323" t="s">
        <v>211</v>
      </c>
      <c r="C323" t="s">
        <v>215</v>
      </c>
      <c r="D323">
        <v>87</v>
      </c>
      <c r="E323" t="s">
        <v>212</v>
      </c>
      <c r="F323" t="s">
        <v>216</v>
      </c>
      <c r="G323">
        <v>11</v>
      </c>
    </row>
    <row r="324" spans="1:8" x14ac:dyDescent="0.25">
      <c r="A324" t="s">
        <v>0</v>
      </c>
      <c r="B324" t="s">
        <v>14</v>
      </c>
      <c r="C324" t="s">
        <v>15</v>
      </c>
      <c r="D324">
        <v>53</v>
      </c>
      <c r="E324" t="s">
        <v>4</v>
      </c>
      <c r="F324" t="s">
        <v>16</v>
      </c>
      <c r="G324" t="s">
        <v>532</v>
      </c>
    </row>
    <row r="325" spans="1:8" x14ac:dyDescent="0.25">
      <c r="A325" t="s">
        <v>0</v>
      </c>
      <c r="B325" t="s">
        <v>1</v>
      </c>
      <c r="C325" t="s">
        <v>3</v>
      </c>
      <c r="D325" t="s">
        <v>4</v>
      </c>
      <c r="E325" t="s">
        <v>5</v>
      </c>
      <c r="F325" t="s">
        <v>533</v>
      </c>
      <c r="G325" t="s">
        <v>7</v>
      </c>
      <c r="H325" t="s">
        <v>73</v>
      </c>
    </row>
    <row r="326" spans="1:8" x14ac:dyDescent="0.25">
      <c r="A326" t="s">
        <v>0</v>
      </c>
      <c r="B326" t="s">
        <v>211</v>
      </c>
      <c r="C326" t="s">
        <v>215</v>
      </c>
      <c r="D326">
        <v>0</v>
      </c>
      <c r="E326" t="s">
        <v>212</v>
      </c>
      <c r="F326" t="s">
        <v>216</v>
      </c>
      <c r="G326">
        <v>0</v>
      </c>
    </row>
    <row r="327" spans="1:8" x14ac:dyDescent="0.25">
      <c r="A327" t="s">
        <v>0</v>
      </c>
      <c r="B327" t="s">
        <v>217</v>
      </c>
      <c r="C327" t="s">
        <v>218</v>
      </c>
      <c r="D327" t="s">
        <v>219</v>
      </c>
      <c r="E327">
        <v>0</v>
      </c>
      <c r="F327" t="s">
        <v>4</v>
      </c>
      <c r="G327" t="s">
        <v>16</v>
      </c>
      <c r="H327" t="s">
        <v>534</v>
      </c>
    </row>
    <row r="328" spans="1:8" x14ac:dyDescent="0.25">
      <c r="A328" t="s">
        <v>0</v>
      </c>
      <c r="B328" t="s">
        <v>1</v>
      </c>
      <c r="C328" t="s">
        <v>3</v>
      </c>
      <c r="D328" t="s">
        <v>4</v>
      </c>
      <c r="E328" t="s">
        <v>5</v>
      </c>
      <c r="F328" t="s">
        <v>535</v>
      </c>
      <c r="G328" t="s">
        <v>7</v>
      </c>
      <c r="H328" t="s">
        <v>536</v>
      </c>
    </row>
    <row r="329" spans="1:8" x14ac:dyDescent="0.25">
      <c r="A329" t="s">
        <v>0</v>
      </c>
      <c r="B329" t="s">
        <v>211</v>
      </c>
      <c r="C329" t="s">
        <v>215</v>
      </c>
      <c r="D329">
        <v>62</v>
      </c>
      <c r="E329" t="s">
        <v>212</v>
      </c>
      <c r="F329" t="s">
        <v>216</v>
      </c>
      <c r="G329">
        <v>8</v>
      </c>
    </row>
    <row r="330" spans="1:8" x14ac:dyDescent="0.25">
      <c r="A330" t="s">
        <v>0</v>
      </c>
      <c r="B330" t="s">
        <v>14</v>
      </c>
      <c r="C330" t="s">
        <v>15</v>
      </c>
      <c r="D330">
        <v>54</v>
      </c>
      <c r="E330" t="s">
        <v>4</v>
      </c>
      <c r="F330" t="s">
        <v>16</v>
      </c>
      <c r="G330" t="s">
        <v>537</v>
      </c>
    </row>
    <row r="331" spans="1:8" x14ac:dyDescent="0.25">
      <c r="A331" t="s">
        <v>0</v>
      </c>
      <c r="B331" t="s">
        <v>1</v>
      </c>
      <c r="C331" t="s">
        <v>3</v>
      </c>
      <c r="D331" t="s">
        <v>4</v>
      </c>
      <c r="E331" t="s">
        <v>5</v>
      </c>
      <c r="F331" t="s">
        <v>538</v>
      </c>
      <c r="G331" t="s">
        <v>7</v>
      </c>
      <c r="H331" t="s">
        <v>539</v>
      </c>
    </row>
    <row r="332" spans="1:8" x14ac:dyDescent="0.25">
      <c r="A332" t="s">
        <v>0</v>
      </c>
      <c r="B332" t="s">
        <v>211</v>
      </c>
      <c r="C332" t="s">
        <v>215</v>
      </c>
      <c r="D332">
        <v>199</v>
      </c>
      <c r="E332" t="s">
        <v>212</v>
      </c>
      <c r="F332" t="s">
        <v>216</v>
      </c>
      <c r="G332">
        <v>25</v>
      </c>
    </row>
    <row r="333" spans="1:8" x14ac:dyDescent="0.25">
      <c r="A333" t="s">
        <v>0</v>
      </c>
      <c r="B333" t="s">
        <v>217</v>
      </c>
      <c r="C333" t="s">
        <v>218</v>
      </c>
      <c r="D333" t="s">
        <v>219</v>
      </c>
      <c r="E333">
        <v>0</v>
      </c>
      <c r="F333" t="s">
        <v>4</v>
      </c>
      <c r="G333" t="s">
        <v>16</v>
      </c>
      <c r="H333" t="s">
        <v>540</v>
      </c>
    </row>
    <row r="334" spans="1:8" x14ac:dyDescent="0.25">
      <c r="A334" t="s">
        <v>0</v>
      </c>
      <c r="B334" t="s">
        <v>1</v>
      </c>
      <c r="C334" t="s">
        <v>3</v>
      </c>
      <c r="D334" t="s">
        <v>4</v>
      </c>
      <c r="E334" t="s">
        <v>5</v>
      </c>
      <c r="F334" t="s">
        <v>541</v>
      </c>
      <c r="G334" t="s">
        <v>7</v>
      </c>
      <c r="H334" t="s">
        <v>542</v>
      </c>
    </row>
    <row r="335" spans="1:8" x14ac:dyDescent="0.25">
      <c r="A335" t="s">
        <v>0</v>
      </c>
      <c r="B335" t="s">
        <v>211</v>
      </c>
      <c r="C335" t="s">
        <v>215</v>
      </c>
      <c r="D335">
        <v>31</v>
      </c>
      <c r="E335" t="s">
        <v>212</v>
      </c>
      <c r="F335" t="s">
        <v>216</v>
      </c>
      <c r="G335">
        <v>4</v>
      </c>
    </row>
    <row r="336" spans="1:8" x14ac:dyDescent="0.25">
      <c r="A336" t="s">
        <v>0</v>
      </c>
      <c r="B336" t="s">
        <v>14</v>
      </c>
      <c r="C336" t="s">
        <v>15</v>
      </c>
      <c r="D336">
        <v>55</v>
      </c>
      <c r="E336" t="s">
        <v>4</v>
      </c>
      <c r="F336" t="s">
        <v>16</v>
      </c>
      <c r="G336" t="s">
        <v>543</v>
      </c>
    </row>
    <row r="337" spans="1:8" x14ac:dyDescent="0.25">
      <c r="A337" t="s">
        <v>0</v>
      </c>
      <c r="B337" t="s">
        <v>1</v>
      </c>
      <c r="C337" t="s">
        <v>3</v>
      </c>
      <c r="D337" t="s">
        <v>4</v>
      </c>
      <c r="E337" t="s">
        <v>5</v>
      </c>
      <c r="F337" t="s">
        <v>544</v>
      </c>
      <c r="G337" t="s">
        <v>7</v>
      </c>
      <c r="H337" t="s">
        <v>545</v>
      </c>
    </row>
    <row r="338" spans="1:8" x14ac:dyDescent="0.25">
      <c r="A338" t="s">
        <v>0</v>
      </c>
      <c r="B338" t="s">
        <v>211</v>
      </c>
      <c r="C338" t="s">
        <v>215</v>
      </c>
      <c r="D338">
        <v>104</v>
      </c>
      <c r="E338" t="s">
        <v>212</v>
      </c>
      <c r="F338" t="s">
        <v>216</v>
      </c>
      <c r="G338">
        <v>13</v>
      </c>
    </row>
    <row r="339" spans="1:8" x14ac:dyDescent="0.25">
      <c r="A339" t="s">
        <v>0</v>
      </c>
      <c r="B339" t="s">
        <v>217</v>
      </c>
      <c r="C339" t="s">
        <v>218</v>
      </c>
      <c r="D339" t="s">
        <v>219</v>
      </c>
      <c r="E339">
        <v>0</v>
      </c>
      <c r="F339" t="s">
        <v>4</v>
      </c>
      <c r="G339" t="s">
        <v>16</v>
      </c>
      <c r="H339" t="s">
        <v>546</v>
      </c>
    </row>
    <row r="340" spans="1:8" x14ac:dyDescent="0.25">
      <c r="A340" t="s">
        <v>0</v>
      </c>
      <c r="B340" t="s">
        <v>1</v>
      </c>
      <c r="C340" t="s">
        <v>3</v>
      </c>
      <c r="D340" t="s">
        <v>4</v>
      </c>
      <c r="E340" t="s">
        <v>5</v>
      </c>
      <c r="F340" t="s">
        <v>547</v>
      </c>
      <c r="G340" t="s">
        <v>7</v>
      </c>
      <c r="H340" t="s">
        <v>136</v>
      </c>
    </row>
    <row r="341" spans="1:8" x14ac:dyDescent="0.25">
      <c r="A341" t="s">
        <v>0</v>
      </c>
      <c r="B341" t="s">
        <v>211</v>
      </c>
      <c r="C341" t="s">
        <v>215</v>
      </c>
      <c r="D341">
        <v>2</v>
      </c>
      <c r="E341" t="s">
        <v>212</v>
      </c>
      <c r="F341" t="s">
        <v>216</v>
      </c>
      <c r="G341">
        <v>0</v>
      </c>
    </row>
    <row r="342" spans="1:8" x14ac:dyDescent="0.25">
      <c r="A342" t="s">
        <v>0</v>
      </c>
      <c r="B342" t="s">
        <v>14</v>
      </c>
      <c r="C342" t="s">
        <v>15</v>
      </c>
      <c r="D342">
        <v>56</v>
      </c>
      <c r="E342" t="s">
        <v>4</v>
      </c>
      <c r="F342" t="s">
        <v>16</v>
      </c>
      <c r="G342" t="s">
        <v>548</v>
      </c>
    </row>
    <row r="343" spans="1:8" x14ac:dyDescent="0.25">
      <c r="A343" t="s">
        <v>0</v>
      </c>
      <c r="B343" t="s">
        <v>1</v>
      </c>
      <c r="C343" t="s">
        <v>3</v>
      </c>
      <c r="D343" t="s">
        <v>4</v>
      </c>
      <c r="E343" t="s">
        <v>5</v>
      </c>
      <c r="F343" t="s">
        <v>549</v>
      </c>
      <c r="G343" t="s">
        <v>7</v>
      </c>
      <c r="H343" t="s">
        <v>73</v>
      </c>
    </row>
    <row r="344" spans="1:8" x14ac:dyDescent="0.25">
      <c r="A344" t="s">
        <v>0</v>
      </c>
      <c r="B344" t="s">
        <v>211</v>
      </c>
      <c r="C344" t="s">
        <v>215</v>
      </c>
      <c r="D344">
        <v>0</v>
      </c>
      <c r="E344" t="s">
        <v>212</v>
      </c>
      <c r="F344" t="s">
        <v>216</v>
      </c>
      <c r="G344">
        <v>0</v>
      </c>
    </row>
    <row r="345" spans="1:8" x14ac:dyDescent="0.25">
      <c r="A345" t="s">
        <v>0</v>
      </c>
      <c r="B345" t="s">
        <v>217</v>
      </c>
      <c r="C345" t="s">
        <v>218</v>
      </c>
      <c r="D345" t="s">
        <v>219</v>
      </c>
      <c r="E345">
        <v>0</v>
      </c>
      <c r="F345" t="s">
        <v>4</v>
      </c>
      <c r="G345" t="s">
        <v>16</v>
      </c>
      <c r="H345" t="s">
        <v>550</v>
      </c>
    </row>
    <row r="346" spans="1:8" x14ac:dyDescent="0.25">
      <c r="A346" t="s">
        <v>0</v>
      </c>
      <c r="B346" t="s">
        <v>1</v>
      </c>
      <c r="C346" t="s">
        <v>3</v>
      </c>
      <c r="D346" t="s">
        <v>4</v>
      </c>
      <c r="E346" t="s">
        <v>5</v>
      </c>
      <c r="F346" t="s">
        <v>551</v>
      </c>
      <c r="G346" t="s">
        <v>7</v>
      </c>
      <c r="H346" t="s">
        <v>552</v>
      </c>
    </row>
    <row r="347" spans="1:8" x14ac:dyDescent="0.25">
      <c r="A347" t="s">
        <v>0</v>
      </c>
      <c r="B347" t="s">
        <v>211</v>
      </c>
      <c r="C347" t="s">
        <v>215</v>
      </c>
      <c r="D347">
        <v>43</v>
      </c>
      <c r="E347" t="s">
        <v>212</v>
      </c>
      <c r="F347" t="s">
        <v>216</v>
      </c>
      <c r="G347">
        <v>5</v>
      </c>
    </row>
    <row r="348" spans="1:8" x14ac:dyDescent="0.25">
      <c r="A348" t="s">
        <v>0</v>
      </c>
      <c r="B348" t="s">
        <v>14</v>
      </c>
      <c r="C348" t="s">
        <v>15</v>
      </c>
      <c r="D348">
        <v>57</v>
      </c>
      <c r="E348" t="s">
        <v>4</v>
      </c>
      <c r="F348" t="s">
        <v>16</v>
      </c>
      <c r="G348" t="s">
        <v>553</v>
      </c>
    </row>
    <row r="349" spans="1:8" x14ac:dyDescent="0.25">
      <c r="A349" t="s">
        <v>0</v>
      </c>
      <c r="B349" t="s">
        <v>1</v>
      </c>
      <c r="C349" t="s">
        <v>3</v>
      </c>
      <c r="D349" t="s">
        <v>4</v>
      </c>
      <c r="E349" t="s">
        <v>5</v>
      </c>
      <c r="F349" t="s">
        <v>554</v>
      </c>
      <c r="G349" t="s">
        <v>7</v>
      </c>
      <c r="H349" t="s">
        <v>555</v>
      </c>
    </row>
    <row r="350" spans="1:8" x14ac:dyDescent="0.25">
      <c r="A350" t="s">
        <v>0</v>
      </c>
      <c r="B350" t="s">
        <v>211</v>
      </c>
      <c r="C350" t="s">
        <v>215</v>
      </c>
      <c r="D350">
        <v>224</v>
      </c>
      <c r="E350" t="s">
        <v>212</v>
      </c>
      <c r="F350" t="s">
        <v>216</v>
      </c>
      <c r="G350">
        <v>28</v>
      </c>
    </row>
    <row r="351" spans="1:8" x14ac:dyDescent="0.25">
      <c r="A351" t="s">
        <v>0</v>
      </c>
      <c r="B351" t="s">
        <v>217</v>
      </c>
      <c r="C351" t="s">
        <v>218</v>
      </c>
      <c r="D351" t="s">
        <v>219</v>
      </c>
      <c r="E351">
        <v>0</v>
      </c>
      <c r="F351" t="s">
        <v>4</v>
      </c>
      <c r="G351" t="s">
        <v>16</v>
      </c>
      <c r="H351" t="s">
        <v>556</v>
      </c>
    </row>
    <row r="352" spans="1:8" x14ac:dyDescent="0.25">
      <c r="A352" t="s">
        <v>0</v>
      </c>
      <c r="B352" t="s">
        <v>1</v>
      </c>
      <c r="C352" t="s">
        <v>3</v>
      </c>
      <c r="D352" t="s">
        <v>4</v>
      </c>
      <c r="E352" t="s">
        <v>5</v>
      </c>
      <c r="F352" t="s">
        <v>557</v>
      </c>
      <c r="G352" t="s">
        <v>7</v>
      </c>
      <c r="H352" t="s">
        <v>558</v>
      </c>
    </row>
    <row r="353" spans="1:8" x14ac:dyDescent="0.25">
      <c r="A353" t="s">
        <v>0</v>
      </c>
      <c r="B353" t="s">
        <v>211</v>
      </c>
      <c r="C353" t="s">
        <v>215</v>
      </c>
      <c r="D353">
        <v>94</v>
      </c>
      <c r="E353" t="s">
        <v>212</v>
      </c>
      <c r="F353" t="s">
        <v>216</v>
      </c>
      <c r="G353">
        <v>12</v>
      </c>
    </row>
    <row r="354" spans="1:8" x14ac:dyDescent="0.25">
      <c r="A354" t="s">
        <v>0</v>
      </c>
      <c r="B354" t="s">
        <v>14</v>
      </c>
      <c r="C354" t="s">
        <v>15</v>
      </c>
      <c r="D354">
        <v>58</v>
      </c>
      <c r="E354" t="s">
        <v>4</v>
      </c>
      <c r="F354" t="s">
        <v>16</v>
      </c>
      <c r="G354" t="s">
        <v>559</v>
      </c>
    </row>
    <row r="355" spans="1:8" x14ac:dyDescent="0.25">
      <c r="A355" t="s">
        <v>0</v>
      </c>
      <c r="B355" t="s">
        <v>1</v>
      </c>
      <c r="C355" t="s">
        <v>3</v>
      </c>
      <c r="D355" t="s">
        <v>4</v>
      </c>
      <c r="E355" t="s">
        <v>5</v>
      </c>
      <c r="F355" t="s">
        <v>560</v>
      </c>
      <c r="G355" t="s">
        <v>7</v>
      </c>
      <c r="H355" t="s">
        <v>561</v>
      </c>
    </row>
    <row r="356" spans="1:8" x14ac:dyDescent="0.25">
      <c r="A356" t="s">
        <v>0</v>
      </c>
      <c r="B356" t="s">
        <v>211</v>
      </c>
      <c r="C356" t="s">
        <v>215</v>
      </c>
      <c r="D356">
        <v>23</v>
      </c>
      <c r="E356" t="s">
        <v>212</v>
      </c>
      <c r="F356" t="s">
        <v>216</v>
      </c>
      <c r="G356">
        <v>3</v>
      </c>
    </row>
    <row r="357" spans="1:8" x14ac:dyDescent="0.25">
      <c r="A357" t="s">
        <v>0</v>
      </c>
      <c r="B357" t="s">
        <v>217</v>
      </c>
      <c r="C357" t="s">
        <v>218</v>
      </c>
      <c r="D357" t="s">
        <v>219</v>
      </c>
      <c r="E357">
        <v>0</v>
      </c>
      <c r="F357" t="s">
        <v>4</v>
      </c>
      <c r="G357" t="s">
        <v>16</v>
      </c>
      <c r="H357" t="s">
        <v>562</v>
      </c>
    </row>
    <row r="358" spans="1:8" x14ac:dyDescent="0.25">
      <c r="A358" t="s">
        <v>0</v>
      </c>
      <c r="B358" t="s">
        <v>1</v>
      </c>
      <c r="C358" t="s">
        <v>3</v>
      </c>
      <c r="D358" t="s">
        <v>4</v>
      </c>
      <c r="E358" t="s">
        <v>5</v>
      </c>
      <c r="F358" t="s">
        <v>563</v>
      </c>
      <c r="G358" t="s">
        <v>7</v>
      </c>
      <c r="H358" t="s">
        <v>564</v>
      </c>
    </row>
    <row r="359" spans="1:8" x14ac:dyDescent="0.25">
      <c r="A359" t="s">
        <v>0</v>
      </c>
      <c r="B359" t="s">
        <v>211</v>
      </c>
      <c r="C359" t="s">
        <v>215</v>
      </c>
      <c r="D359">
        <v>47</v>
      </c>
      <c r="E359" t="s">
        <v>212</v>
      </c>
      <c r="F359" t="s">
        <v>216</v>
      </c>
      <c r="G359">
        <v>6</v>
      </c>
    </row>
    <row r="360" spans="1:8" x14ac:dyDescent="0.25">
      <c r="A360" t="s">
        <v>0</v>
      </c>
      <c r="B360" t="s">
        <v>14</v>
      </c>
      <c r="C360" t="s">
        <v>15</v>
      </c>
      <c r="D360">
        <v>59</v>
      </c>
      <c r="E360" t="s">
        <v>4</v>
      </c>
      <c r="F360" t="s">
        <v>16</v>
      </c>
      <c r="G360" t="s">
        <v>565</v>
      </c>
    </row>
    <row r="361" spans="1:8" x14ac:dyDescent="0.25">
      <c r="A361" t="s">
        <v>0</v>
      </c>
      <c r="B361" t="s">
        <v>1</v>
      </c>
      <c r="C361" t="s">
        <v>3</v>
      </c>
      <c r="D361" t="s">
        <v>4</v>
      </c>
      <c r="E361" t="s">
        <v>5</v>
      </c>
      <c r="F361" t="s">
        <v>566</v>
      </c>
      <c r="G361" t="s">
        <v>7</v>
      </c>
      <c r="H361" t="s">
        <v>567</v>
      </c>
    </row>
    <row r="362" spans="1:8" x14ac:dyDescent="0.25">
      <c r="A362" t="s">
        <v>0</v>
      </c>
      <c r="B362" t="s">
        <v>211</v>
      </c>
      <c r="C362" t="s">
        <v>215</v>
      </c>
      <c r="D362">
        <v>24</v>
      </c>
      <c r="E362" t="s">
        <v>212</v>
      </c>
      <c r="F362" t="s">
        <v>216</v>
      </c>
      <c r="G362">
        <v>3</v>
      </c>
    </row>
    <row r="363" spans="1:8" x14ac:dyDescent="0.25">
      <c r="A363" t="s">
        <v>0</v>
      </c>
      <c r="B363" t="s">
        <v>217</v>
      </c>
      <c r="C363" t="s">
        <v>218</v>
      </c>
      <c r="D363" t="s">
        <v>219</v>
      </c>
      <c r="E363">
        <v>0</v>
      </c>
      <c r="F363" t="s">
        <v>4</v>
      </c>
      <c r="G363" t="s">
        <v>16</v>
      </c>
      <c r="H363" t="s">
        <v>568</v>
      </c>
    </row>
    <row r="364" spans="1:8" x14ac:dyDescent="0.25">
      <c r="A364" t="s">
        <v>0</v>
      </c>
      <c r="B364" t="s">
        <v>1</v>
      </c>
      <c r="C364" t="s">
        <v>3</v>
      </c>
      <c r="D364" t="s">
        <v>4</v>
      </c>
      <c r="E364" t="s">
        <v>5</v>
      </c>
      <c r="F364" t="s">
        <v>569</v>
      </c>
      <c r="G364" t="s">
        <v>7</v>
      </c>
      <c r="H364" t="s">
        <v>407</v>
      </c>
    </row>
    <row r="365" spans="1:8" x14ac:dyDescent="0.25">
      <c r="A365" t="s">
        <v>0</v>
      </c>
      <c r="B365" t="s">
        <v>211</v>
      </c>
      <c r="C365" t="s">
        <v>215</v>
      </c>
      <c r="D365">
        <v>38</v>
      </c>
      <c r="E365" t="s">
        <v>212</v>
      </c>
      <c r="F365" t="s">
        <v>216</v>
      </c>
      <c r="G365">
        <v>5</v>
      </c>
    </row>
    <row r="366" spans="1:8" x14ac:dyDescent="0.25">
      <c r="A366" t="s">
        <v>0</v>
      </c>
      <c r="B366" t="s">
        <v>14</v>
      </c>
      <c r="C366" t="s">
        <v>15</v>
      </c>
      <c r="D366">
        <v>60</v>
      </c>
      <c r="E366" t="s">
        <v>4</v>
      </c>
      <c r="F366" t="s">
        <v>16</v>
      </c>
      <c r="G366" t="s">
        <v>570</v>
      </c>
    </row>
    <row r="367" spans="1:8" x14ac:dyDescent="0.25">
      <c r="A367" t="s">
        <v>0</v>
      </c>
      <c r="B367" t="s">
        <v>1</v>
      </c>
      <c r="C367" t="s">
        <v>3</v>
      </c>
      <c r="D367" t="s">
        <v>4</v>
      </c>
      <c r="E367" t="s">
        <v>5</v>
      </c>
      <c r="F367" t="s">
        <v>571</v>
      </c>
      <c r="G367" t="s">
        <v>7</v>
      </c>
      <c r="H367" t="s">
        <v>572</v>
      </c>
    </row>
    <row r="368" spans="1:8" x14ac:dyDescent="0.25">
      <c r="A368" t="s">
        <v>0</v>
      </c>
      <c r="B368" t="s">
        <v>211</v>
      </c>
      <c r="C368" t="s">
        <v>215</v>
      </c>
      <c r="D368">
        <v>55</v>
      </c>
      <c r="E368" t="s">
        <v>212</v>
      </c>
      <c r="F368" t="s">
        <v>216</v>
      </c>
      <c r="G368">
        <v>7</v>
      </c>
    </row>
    <row r="369" spans="1:8" x14ac:dyDescent="0.25">
      <c r="A369" t="s">
        <v>0</v>
      </c>
      <c r="B369" t="s">
        <v>217</v>
      </c>
      <c r="C369" t="s">
        <v>218</v>
      </c>
      <c r="D369" t="s">
        <v>219</v>
      </c>
      <c r="E369">
        <v>0</v>
      </c>
      <c r="F369" t="s">
        <v>4</v>
      </c>
      <c r="G369" t="s">
        <v>16</v>
      </c>
      <c r="H369" t="s">
        <v>573</v>
      </c>
    </row>
    <row r="370" spans="1:8" x14ac:dyDescent="0.25">
      <c r="A370" t="s">
        <v>0</v>
      </c>
      <c r="B370" t="s">
        <v>1</v>
      </c>
      <c r="C370" t="s">
        <v>3</v>
      </c>
      <c r="D370" t="s">
        <v>4</v>
      </c>
      <c r="E370" t="s">
        <v>5</v>
      </c>
      <c r="F370" t="s">
        <v>574</v>
      </c>
      <c r="G370" t="s">
        <v>7</v>
      </c>
      <c r="H370" t="s">
        <v>575</v>
      </c>
    </row>
    <row r="371" spans="1:8" x14ac:dyDescent="0.25">
      <c r="A371" t="s">
        <v>0</v>
      </c>
      <c r="B371" t="s">
        <v>211</v>
      </c>
      <c r="C371" t="s">
        <v>215</v>
      </c>
      <c r="D371">
        <v>7</v>
      </c>
      <c r="E371" t="s">
        <v>212</v>
      </c>
      <c r="F371" t="s">
        <v>216</v>
      </c>
      <c r="G371">
        <v>1</v>
      </c>
    </row>
    <row r="372" spans="1:8" x14ac:dyDescent="0.25">
      <c r="A372" t="s">
        <v>0</v>
      </c>
      <c r="B372" t="s">
        <v>14</v>
      </c>
      <c r="C372" t="s">
        <v>15</v>
      </c>
      <c r="D372">
        <v>61</v>
      </c>
      <c r="E372" t="s">
        <v>4</v>
      </c>
      <c r="F372" t="s">
        <v>16</v>
      </c>
      <c r="G372" t="s">
        <v>576</v>
      </c>
    </row>
    <row r="373" spans="1:8" x14ac:dyDescent="0.25">
      <c r="A373" t="s">
        <v>0</v>
      </c>
      <c r="B373" t="s">
        <v>1</v>
      </c>
      <c r="C373" t="s">
        <v>3</v>
      </c>
      <c r="D373" t="s">
        <v>4</v>
      </c>
      <c r="E373" t="s">
        <v>5</v>
      </c>
      <c r="F373" t="s">
        <v>577</v>
      </c>
      <c r="G373" t="s">
        <v>7</v>
      </c>
      <c r="H373" t="s">
        <v>578</v>
      </c>
    </row>
    <row r="374" spans="1:8" x14ac:dyDescent="0.25">
      <c r="A374" t="s">
        <v>0</v>
      </c>
      <c r="B374" t="s">
        <v>211</v>
      </c>
      <c r="C374" t="s">
        <v>215</v>
      </c>
      <c r="D374">
        <v>136</v>
      </c>
      <c r="E374" t="s">
        <v>212</v>
      </c>
      <c r="F374" t="s">
        <v>216</v>
      </c>
      <c r="G374">
        <v>17</v>
      </c>
    </row>
    <row r="375" spans="1:8" x14ac:dyDescent="0.25">
      <c r="A375" t="s">
        <v>0</v>
      </c>
      <c r="B375" t="s">
        <v>217</v>
      </c>
      <c r="C375" t="s">
        <v>218</v>
      </c>
      <c r="D375" t="s">
        <v>219</v>
      </c>
      <c r="E375">
        <v>0</v>
      </c>
      <c r="F375" t="s">
        <v>4</v>
      </c>
      <c r="G375" t="s">
        <v>16</v>
      </c>
      <c r="H375" t="s">
        <v>579</v>
      </c>
    </row>
    <row r="376" spans="1:8" x14ac:dyDescent="0.25">
      <c r="A376" t="s">
        <v>0</v>
      </c>
      <c r="B376" t="s">
        <v>1</v>
      </c>
      <c r="C376" t="s">
        <v>3</v>
      </c>
      <c r="D376" t="s">
        <v>4</v>
      </c>
      <c r="E376" t="s">
        <v>5</v>
      </c>
      <c r="F376" t="s">
        <v>580</v>
      </c>
      <c r="G376" t="s">
        <v>7</v>
      </c>
      <c r="H376" t="s">
        <v>581</v>
      </c>
    </row>
    <row r="377" spans="1:8" x14ac:dyDescent="0.25">
      <c r="A377" t="s">
        <v>0</v>
      </c>
      <c r="B377" t="s">
        <v>211</v>
      </c>
      <c r="C377" t="s">
        <v>215</v>
      </c>
      <c r="D377">
        <v>118</v>
      </c>
      <c r="E377" t="s">
        <v>212</v>
      </c>
      <c r="F377" t="s">
        <v>216</v>
      </c>
      <c r="G377">
        <v>15</v>
      </c>
    </row>
    <row r="378" spans="1:8" x14ac:dyDescent="0.25">
      <c r="A378" t="s">
        <v>0</v>
      </c>
      <c r="B378" t="s">
        <v>14</v>
      </c>
      <c r="C378" t="s">
        <v>15</v>
      </c>
      <c r="D378">
        <v>62</v>
      </c>
      <c r="E378" t="s">
        <v>4</v>
      </c>
      <c r="F378" t="s">
        <v>16</v>
      </c>
      <c r="G378" t="s">
        <v>582</v>
      </c>
    </row>
    <row r="379" spans="1:8" x14ac:dyDescent="0.25">
      <c r="A379" t="s">
        <v>0</v>
      </c>
      <c r="B379" t="s">
        <v>1</v>
      </c>
      <c r="C379" t="s">
        <v>3</v>
      </c>
      <c r="D379" t="s">
        <v>4</v>
      </c>
      <c r="E379" t="s">
        <v>5</v>
      </c>
      <c r="F379" t="s">
        <v>583</v>
      </c>
      <c r="G379" t="s">
        <v>7</v>
      </c>
      <c r="H379" t="s">
        <v>584</v>
      </c>
    </row>
    <row r="380" spans="1:8" x14ac:dyDescent="0.25">
      <c r="A380" t="s">
        <v>0</v>
      </c>
      <c r="B380" t="s">
        <v>211</v>
      </c>
      <c r="C380" t="s">
        <v>215</v>
      </c>
      <c r="D380">
        <v>71</v>
      </c>
      <c r="E380" t="s">
        <v>212</v>
      </c>
      <c r="F380" t="s">
        <v>216</v>
      </c>
      <c r="G380">
        <v>9</v>
      </c>
    </row>
    <row r="381" spans="1:8" x14ac:dyDescent="0.25">
      <c r="A381" t="s">
        <v>0</v>
      </c>
      <c r="B381" t="s">
        <v>217</v>
      </c>
      <c r="C381" t="s">
        <v>218</v>
      </c>
      <c r="D381" t="s">
        <v>219</v>
      </c>
      <c r="E381">
        <v>0</v>
      </c>
      <c r="F381" t="s">
        <v>4</v>
      </c>
      <c r="G381" t="s">
        <v>16</v>
      </c>
      <c r="H381" t="s">
        <v>585</v>
      </c>
    </row>
    <row r="382" spans="1:8" x14ac:dyDescent="0.25">
      <c r="A382" t="s">
        <v>0</v>
      </c>
      <c r="B382" t="s">
        <v>1</v>
      </c>
      <c r="C382" t="s">
        <v>3</v>
      </c>
      <c r="D382" t="s">
        <v>4</v>
      </c>
      <c r="E382" t="s">
        <v>5</v>
      </c>
      <c r="F382" t="s">
        <v>586</v>
      </c>
      <c r="G382" t="s">
        <v>7</v>
      </c>
      <c r="H382" t="s">
        <v>587</v>
      </c>
    </row>
    <row r="383" spans="1:8" x14ac:dyDescent="0.25">
      <c r="A383" t="s">
        <v>0</v>
      </c>
      <c r="B383" t="s">
        <v>211</v>
      </c>
      <c r="C383" t="s">
        <v>215</v>
      </c>
      <c r="D383">
        <v>55</v>
      </c>
      <c r="E383" t="s">
        <v>212</v>
      </c>
      <c r="F383" t="s">
        <v>216</v>
      </c>
      <c r="G383">
        <v>7</v>
      </c>
    </row>
    <row r="384" spans="1:8" x14ac:dyDescent="0.25">
      <c r="A384" t="s">
        <v>0</v>
      </c>
      <c r="B384" t="s">
        <v>14</v>
      </c>
      <c r="C384" t="s">
        <v>15</v>
      </c>
      <c r="D384">
        <v>63</v>
      </c>
      <c r="E384" t="s">
        <v>4</v>
      </c>
      <c r="F384" t="s">
        <v>16</v>
      </c>
      <c r="G384" t="s">
        <v>588</v>
      </c>
    </row>
    <row r="385" spans="1:8" x14ac:dyDescent="0.25">
      <c r="A385" t="s">
        <v>0</v>
      </c>
      <c r="B385" t="s">
        <v>1</v>
      </c>
      <c r="C385" t="s">
        <v>3</v>
      </c>
      <c r="D385" t="s">
        <v>4</v>
      </c>
      <c r="E385" t="s">
        <v>5</v>
      </c>
      <c r="F385" t="s">
        <v>589</v>
      </c>
      <c r="G385" t="s">
        <v>7</v>
      </c>
      <c r="H385" t="s">
        <v>590</v>
      </c>
    </row>
    <row r="386" spans="1:8" x14ac:dyDescent="0.25">
      <c r="A386" t="s">
        <v>0</v>
      </c>
      <c r="B386" t="s">
        <v>211</v>
      </c>
      <c r="C386" t="s">
        <v>215</v>
      </c>
      <c r="D386">
        <v>200</v>
      </c>
      <c r="E386" t="s">
        <v>212</v>
      </c>
      <c r="F386" t="s">
        <v>216</v>
      </c>
      <c r="G386">
        <v>25</v>
      </c>
    </row>
    <row r="387" spans="1:8" x14ac:dyDescent="0.25">
      <c r="A387" t="s">
        <v>0</v>
      </c>
      <c r="B387" t="s">
        <v>217</v>
      </c>
      <c r="C387" t="s">
        <v>218</v>
      </c>
      <c r="D387" t="s">
        <v>219</v>
      </c>
      <c r="E387">
        <v>0</v>
      </c>
      <c r="F387" t="s">
        <v>4</v>
      </c>
      <c r="G387" t="s">
        <v>16</v>
      </c>
      <c r="H387" t="s">
        <v>591</v>
      </c>
    </row>
    <row r="388" spans="1:8" x14ac:dyDescent="0.25">
      <c r="A388" t="s">
        <v>0</v>
      </c>
      <c r="B388" t="s">
        <v>1</v>
      </c>
      <c r="C388" t="s">
        <v>3</v>
      </c>
      <c r="D388" t="s">
        <v>4</v>
      </c>
      <c r="E388" t="s">
        <v>5</v>
      </c>
      <c r="F388" t="s">
        <v>592</v>
      </c>
      <c r="G388" t="s">
        <v>7</v>
      </c>
      <c r="H388" t="s">
        <v>593</v>
      </c>
    </row>
    <row r="389" spans="1:8" x14ac:dyDescent="0.25">
      <c r="A389" t="s">
        <v>0</v>
      </c>
      <c r="B389" t="s">
        <v>211</v>
      </c>
      <c r="C389" t="s">
        <v>215</v>
      </c>
      <c r="D389">
        <v>30</v>
      </c>
      <c r="E389" t="s">
        <v>212</v>
      </c>
      <c r="F389" t="s">
        <v>216</v>
      </c>
      <c r="G389">
        <v>4</v>
      </c>
    </row>
    <row r="390" spans="1:8" x14ac:dyDescent="0.25">
      <c r="A390" t="s">
        <v>0</v>
      </c>
      <c r="B390" t="s">
        <v>14</v>
      </c>
      <c r="C390" t="s">
        <v>15</v>
      </c>
      <c r="D390">
        <v>64</v>
      </c>
      <c r="E390" t="s">
        <v>4</v>
      </c>
      <c r="F390" t="s">
        <v>16</v>
      </c>
      <c r="G390" t="s">
        <v>594</v>
      </c>
    </row>
    <row r="391" spans="1:8" x14ac:dyDescent="0.25">
      <c r="A391" t="s">
        <v>0</v>
      </c>
      <c r="B391" t="s">
        <v>1</v>
      </c>
      <c r="C391" t="s">
        <v>3</v>
      </c>
      <c r="D391" t="s">
        <v>4</v>
      </c>
      <c r="E391" t="s">
        <v>5</v>
      </c>
      <c r="F391" t="s">
        <v>595</v>
      </c>
      <c r="G391" t="s">
        <v>7</v>
      </c>
      <c r="H391" t="s">
        <v>596</v>
      </c>
    </row>
    <row r="392" spans="1:8" x14ac:dyDescent="0.25">
      <c r="A392" t="s">
        <v>0</v>
      </c>
      <c r="B392" t="s">
        <v>211</v>
      </c>
      <c r="C392" t="s">
        <v>215</v>
      </c>
      <c r="D392">
        <v>199</v>
      </c>
      <c r="E392" t="s">
        <v>212</v>
      </c>
      <c r="F392" t="s">
        <v>216</v>
      </c>
      <c r="G392">
        <v>25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743DE-3DEE-41CF-ACCF-BF14046D7772}">
  <sheetPr codeName="Sheet3"/>
  <dimension ref="A1:S259"/>
  <sheetViews>
    <sheetView zoomScale="85" zoomScaleNormal="85" workbookViewId="0">
      <selection activeCell="G67" sqref="G67"/>
    </sheetView>
  </sheetViews>
  <sheetFormatPr defaultRowHeight="15" x14ac:dyDescent="0.25"/>
  <cols>
    <col min="17" max="17" width="10.28515625" bestFit="1" customWidth="1"/>
    <col min="18" max="18" width="11.85546875" bestFit="1" customWidth="1"/>
  </cols>
  <sheetData>
    <row r="1" spans="1:19" x14ac:dyDescent="0.25">
      <c r="A1" t="s">
        <v>0</v>
      </c>
      <c r="B1" t="s">
        <v>219</v>
      </c>
      <c r="C1" t="s">
        <v>792</v>
      </c>
      <c r="D1" t="s">
        <v>663</v>
      </c>
      <c r="E1" t="s">
        <v>793</v>
      </c>
      <c r="F1" t="s">
        <v>11</v>
      </c>
      <c r="G1" t="s">
        <v>665</v>
      </c>
      <c r="I1" t="s">
        <v>852</v>
      </c>
      <c r="K1" t="s">
        <v>852</v>
      </c>
      <c r="O1" t="s">
        <v>14</v>
      </c>
      <c r="P1" t="s">
        <v>210</v>
      </c>
      <c r="Q1" t="s">
        <v>660</v>
      </c>
      <c r="R1" t="s">
        <v>661</v>
      </c>
      <c r="S1" t="s">
        <v>797</v>
      </c>
    </row>
    <row r="2" spans="1:19" x14ac:dyDescent="0.25">
      <c r="A2" t="s">
        <v>0</v>
      </c>
      <c r="B2" t="s">
        <v>794</v>
      </c>
      <c r="C2" t="s">
        <v>795</v>
      </c>
      <c r="D2" t="s">
        <v>209</v>
      </c>
      <c r="E2" t="s">
        <v>209</v>
      </c>
      <c r="F2">
        <v>10</v>
      </c>
      <c r="G2">
        <v>1730</v>
      </c>
      <c r="O2">
        <v>1</v>
      </c>
      <c r="P2" s="2">
        <v>8.3903999999999996</v>
      </c>
      <c r="Q2">
        <v>6</v>
      </c>
      <c r="R2">
        <v>1</v>
      </c>
      <c r="S2">
        <f>R2+Q2</f>
        <v>7</v>
      </c>
    </row>
    <row r="3" spans="1:19" x14ac:dyDescent="0.25">
      <c r="A3" t="s">
        <v>0</v>
      </c>
      <c r="B3">
        <v>1</v>
      </c>
      <c r="C3" t="s">
        <v>853</v>
      </c>
      <c r="D3" t="s">
        <v>854</v>
      </c>
      <c r="E3" t="s">
        <v>603</v>
      </c>
      <c r="F3">
        <v>1</v>
      </c>
      <c r="G3">
        <v>159</v>
      </c>
      <c r="O3">
        <v>2</v>
      </c>
      <c r="P3" s="2">
        <v>9.4143999999999988</v>
      </c>
      <c r="Q3">
        <v>7</v>
      </c>
      <c r="R3">
        <v>1</v>
      </c>
      <c r="S3">
        <f t="shared" ref="S3:S65" si="0">R3+Q3</f>
        <v>8</v>
      </c>
    </row>
    <row r="4" spans="1:19" x14ac:dyDescent="0.25">
      <c r="A4" t="s">
        <v>0</v>
      </c>
      <c r="B4">
        <v>2</v>
      </c>
      <c r="C4" t="s">
        <v>855</v>
      </c>
      <c r="D4" t="s">
        <v>856</v>
      </c>
      <c r="E4" t="s">
        <v>604</v>
      </c>
      <c r="F4">
        <v>1</v>
      </c>
      <c r="G4">
        <v>178</v>
      </c>
      <c r="O4">
        <v>3</v>
      </c>
      <c r="P4" s="2">
        <v>11.0016</v>
      </c>
      <c r="Q4">
        <v>8</v>
      </c>
      <c r="R4">
        <v>1</v>
      </c>
      <c r="S4">
        <f t="shared" si="0"/>
        <v>9</v>
      </c>
    </row>
    <row r="5" spans="1:19" x14ac:dyDescent="0.25">
      <c r="A5" t="s">
        <v>0</v>
      </c>
      <c r="B5">
        <v>3</v>
      </c>
      <c r="C5" t="s">
        <v>857</v>
      </c>
      <c r="D5" t="s">
        <v>858</v>
      </c>
      <c r="E5" t="s">
        <v>605</v>
      </c>
      <c r="F5">
        <v>1</v>
      </c>
      <c r="G5">
        <v>208</v>
      </c>
      <c r="O5">
        <v>4</v>
      </c>
      <c r="P5" s="2">
        <v>9.2096</v>
      </c>
      <c r="Q5">
        <v>7</v>
      </c>
      <c r="R5">
        <v>1</v>
      </c>
      <c r="S5">
        <f t="shared" si="0"/>
        <v>8</v>
      </c>
    </row>
    <row r="6" spans="1:19" x14ac:dyDescent="0.25">
      <c r="A6" t="s">
        <v>0</v>
      </c>
      <c r="B6">
        <v>4</v>
      </c>
      <c r="C6" t="s">
        <v>859</v>
      </c>
      <c r="D6" t="s">
        <v>860</v>
      </c>
      <c r="E6" t="s">
        <v>606</v>
      </c>
      <c r="F6">
        <v>1</v>
      </c>
      <c r="G6">
        <v>175</v>
      </c>
      <c r="O6">
        <v>5</v>
      </c>
      <c r="P6" s="2">
        <v>25.491199999999999</v>
      </c>
      <c r="Q6">
        <v>22</v>
      </c>
      <c r="R6">
        <v>3</v>
      </c>
      <c r="S6">
        <f t="shared" si="0"/>
        <v>25</v>
      </c>
    </row>
    <row r="7" spans="1:19" x14ac:dyDescent="0.25">
      <c r="A7" t="s">
        <v>0</v>
      </c>
      <c r="B7">
        <v>5</v>
      </c>
      <c r="C7" t="s">
        <v>861</v>
      </c>
      <c r="D7" t="s">
        <v>862</v>
      </c>
      <c r="E7" t="s">
        <v>607</v>
      </c>
      <c r="F7">
        <v>3</v>
      </c>
      <c r="G7">
        <v>483</v>
      </c>
      <c r="O7">
        <v>6</v>
      </c>
      <c r="P7" s="2">
        <v>17.760000000000002</v>
      </c>
      <c r="Q7">
        <v>15</v>
      </c>
      <c r="R7">
        <v>2</v>
      </c>
      <c r="S7">
        <f t="shared" si="0"/>
        <v>17</v>
      </c>
    </row>
    <row r="8" spans="1:19" x14ac:dyDescent="0.25">
      <c r="A8" t="s">
        <v>0</v>
      </c>
      <c r="B8">
        <v>6</v>
      </c>
      <c r="C8" t="s">
        <v>863</v>
      </c>
      <c r="D8" t="s">
        <v>864</v>
      </c>
      <c r="E8" t="s">
        <v>608</v>
      </c>
      <c r="F8">
        <v>2</v>
      </c>
      <c r="G8">
        <v>336</v>
      </c>
      <c r="O8">
        <v>7</v>
      </c>
      <c r="P8" s="2">
        <v>27.488</v>
      </c>
      <c r="Q8">
        <v>24</v>
      </c>
      <c r="R8">
        <v>3</v>
      </c>
      <c r="S8">
        <f t="shared" si="0"/>
        <v>27</v>
      </c>
    </row>
    <row r="9" spans="1:19" x14ac:dyDescent="0.25">
      <c r="A9" t="s">
        <v>0</v>
      </c>
      <c r="B9">
        <v>7</v>
      </c>
      <c r="C9" t="s">
        <v>865</v>
      </c>
      <c r="D9" t="s">
        <v>866</v>
      </c>
      <c r="E9" t="s">
        <v>609</v>
      </c>
      <c r="F9">
        <v>3</v>
      </c>
      <c r="G9">
        <v>520</v>
      </c>
      <c r="O9">
        <v>8</v>
      </c>
      <c r="P9" s="2">
        <v>38.086400000000005</v>
      </c>
      <c r="Q9">
        <v>33</v>
      </c>
      <c r="R9">
        <v>4</v>
      </c>
      <c r="S9">
        <f t="shared" si="0"/>
        <v>37</v>
      </c>
    </row>
    <row r="10" spans="1:19" x14ac:dyDescent="0.25">
      <c r="A10" t="s">
        <v>0</v>
      </c>
      <c r="B10">
        <v>8</v>
      </c>
      <c r="C10" t="s">
        <v>867</v>
      </c>
      <c r="D10" t="s">
        <v>868</v>
      </c>
      <c r="E10" t="s">
        <v>610</v>
      </c>
      <c r="F10">
        <v>4</v>
      </c>
      <c r="G10">
        <v>722</v>
      </c>
      <c r="O10">
        <v>9</v>
      </c>
      <c r="P10" s="2">
        <v>31.993599999999997</v>
      </c>
      <c r="Q10">
        <v>28</v>
      </c>
      <c r="R10">
        <v>4</v>
      </c>
      <c r="S10">
        <f t="shared" si="0"/>
        <v>32</v>
      </c>
    </row>
    <row r="11" spans="1:19" x14ac:dyDescent="0.25">
      <c r="A11" t="s">
        <v>0</v>
      </c>
      <c r="B11">
        <v>9</v>
      </c>
      <c r="C11" t="s">
        <v>869</v>
      </c>
      <c r="D11" t="s">
        <v>870</v>
      </c>
      <c r="E11" t="s">
        <v>611</v>
      </c>
      <c r="F11">
        <v>4</v>
      </c>
      <c r="G11">
        <v>606</v>
      </c>
      <c r="O11">
        <v>10</v>
      </c>
      <c r="P11" s="2">
        <v>43.052800000000005</v>
      </c>
      <c r="Q11">
        <v>39</v>
      </c>
      <c r="R11">
        <v>5</v>
      </c>
      <c r="S11">
        <f t="shared" si="0"/>
        <v>44</v>
      </c>
    </row>
    <row r="12" spans="1:19" x14ac:dyDescent="0.25">
      <c r="A12" t="s">
        <v>0</v>
      </c>
      <c r="B12">
        <v>10</v>
      </c>
      <c r="C12" t="s">
        <v>871</v>
      </c>
      <c r="D12" t="s">
        <v>872</v>
      </c>
      <c r="E12" t="s">
        <v>612</v>
      </c>
      <c r="F12">
        <v>5</v>
      </c>
      <c r="G12">
        <v>816</v>
      </c>
      <c r="O12">
        <v>11</v>
      </c>
      <c r="P12" s="2">
        <v>44.179199999999994</v>
      </c>
      <c r="Q12">
        <v>40</v>
      </c>
      <c r="R12">
        <v>5</v>
      </c>
      <c r="S12">
        <f t="shared" si="0"/>
        <v>45</v>
      </c>
    </row>
    <row r="13" spans="1:19" x14ac:dyDescent="0.25">
      <c r="A13" t="s">
        <v>0</v>
      </c>
      <c r="B13">
        <v>11</v>
      </c>
      <c r="C13" t="s">
        <v>873</v>
      </c>
      <c r="D13" t="s">
        <v>874</v>
      </c>
      <c r="E13" t="s">
        <v>613</v>
      </c>
      <c r="F13">
        <v>5</v>
      </c>
      <c r="G13">
        <v>836</v>
      </c>
      <c r="O13">
        <v>12</v>
      </c>
      <c r="P13" s="2">
        <v>51.910400000000003</v>
      </c>
      <c r="Q13">
        <v>47</v>
      </c>
      <c r="R13">
        <v>6</v>
      </c>
      <c r="S13">
        <f t="shared" si="0"/>
        <v>53</v>
      </c>
    </row>
    <row r="14" spans="1:19" x14ac:dyDescent="0.25">
      <c r="A14" t="s">
        <v>0</v>
      </c>
      <c r="B14">
        <v>12</v>
      </c>
      <c r="C14" t="s">
        <v>875</v>
      </c>
      <c r="D14" t="s">
        <v>876</v>
      </c>
      <c r="E14" t="s">
        <v>614</v>
      </c>
      <c r="F14">
        <v>6</v>
      </c>
      <c r="G14">
        <v>983</v>
      </c>
      <c r="O14">
        <v>13</v>
      </c>
      <c r="P14" s="2">
        <v>59.539199999999994</v>
      </c>
      <c r="Q14">
        <v>54</v>
      </c>
      <c r="R14">
        <v>7</v>
      </c>
      <c r="S14">
        <f t="shared" si="0"/>
        <v>61</v>
      </c>
    </row>
    <row r="15" spans="1:19" x14ac:dyDescent="0.25">
      <c r="A15" t="s">
        <v>0</v>
      </c>
      <c r="B15">
        <v>13</v>
      </c>
      <c r="C15" t="s">
        <v>877</v>
      </c>
      <c r="D15" t="s">
        <v>878</v>
      </c>
      <c r="E15" t="s">
        <v>615</v>
      </c>
      <c r="F15">
        <v>7</v>
      </c>
      <c r="G15">
        <v>1127</v>
      </c>
      <c r="O15">
        <v>14</v>
      </c>
      <c r="P15" s="2">
        <v>61.689599999999999</v>
      </c>
      <c r="Q15">
        <v>55</v>
      </c>
      <c r="R15">
        <v>7</v>
      </c>
      <c r="S15">
        <f t="shared" si="0"/>
        <v>62</v>
      </c>
    </row>
    <row r="16" spans="1:19" x14ac:dyDescent="0.25">
      <c r="A16" t="s">
        <v>0</v>
      </c>
      <c r="B16">
        <v>14</v>
      </c>
      <c r="C16" t="s">
        <v>879</v>
      </c>
      <c r="D16" t="s">
        <v>880</v>
      </c>
      <c r="E16" t="s">
        <v>616</v>
      </c>
      <c r="F16">
        <v>7</v>
      </c>
      <c r="G16">
        <v>1168</v>
      </c>
      <c r="O16">
        <v>15</v>
      </c>
      <c r="P16" s="2">
        <v>61.945599999999999</v>
      </c>
      <c r="Q16">
        <v>56</v>
      </c>
      <c r="R16">
        <v>7</v>
      </c>
      <c r="S16">
        <f t="shared" si="0"/>
        <v>63</v>
      </c>
    </row>
    <row r="17" spans="1:19" x14ac:dyDescent="0.25">
      <c r="A17" t="s">
        <v>0</v>
      </c>
      <c r="B17">
        <v>15</v>
      </c>
      <c r="C17" t="s">
        <v>881</v>
      </c>
      <c r="D17" t="s">
        <v>882</v>
      </c>
      <c r="E17" t="s">
        <v>617</v>
      </c>
      <c r="F17">
        <v>7</v>
      </c>
      <c r="G17">
        <v>1173</v>
      </c>
      <c r="O17">
        <v>16</v>
      </c>
      <c r="P17" s="2">
        <v>69.4208</v>
      </c>
      <c r="Q17">
        <v>63</v>
      </c>
      <c r="R17">
        <v>8</v>
      </c>
      <c r="S17">
        <f t="shared" si="0"/>
        <v>71</v>
      </c>
    </row>
    <row r="18" spans="1:19" x14ac:dyDescent="0.25">
      <c r="A18" t="s">
        <v>0</v>
      </c>
      <c r="B18">
        <v>16</v>
      </c>
      <c r="C18" t="s">
        <v>883</v>
      </c>
      <c r="D18" t="s">
        <v>884</v>
      </c>
      <c r="E18" t="s">
        <v>618</v>
      </c>
      <c r="F18">
        <v>8</v>
      </c>
      <c r="G18">
        <v>1315</v>
      </c>
      <c r="O18">
        <v>17</v>
      </c>
      <c r="P18" s="2">
        <v>76.947199999999995</v>
      </c>
      <c r="Q18">
        <v>70</v>
      </c>
      <c r="R18">
        <v>9</v>
      </c>
      <c r="S18">
        <f t="shared" si="0"/>
        <v>79</v>
      </c>
    </row>
    <row r="19" spans="1:19" x14ac:dyDescent="0.25">
      <c r="A19" t="s">
        <v>0</v>
      </c>
      <c r="B19">
        <v>17</v>
      </c>
      <c r="C19" t="s">
        <v>885</v>
      </c>
      <c r="D19" t="s">
        <v>886</v>
      </c>
      <c r="E19" t="s">
        <v>619</v>
      </c>
      <c r="F19">
        <v>9</v>
      </c>
      <c r="G19">
        <v>1457</v>
      </c>
      <c r="O19">
        <v>18</v>
      </c>
      <c r="P19" s="2">
        <v>77.356800000000007</v>
      </c>
      <c r="Q19">
        <v>71</v>
      </c>
      <c r="R19">
        <v>9</v>
      </c>
      <c r="S19">
        <f t="shared" si="0"/>
        <v>80</v>
      </c>
    </row>
    <row r="20" spans="1:19" x14ac:dyDescent="0.25">
      <c r="A20" t="s">
        <v>0</v>
      </c>
      <c r="B20">
        <v>18</v>
      </c>
      <c r="C20" t="s">
        <v>887</v>
      </c>
      <c r="D20" t="s">
        <v>888</v>
      </c>
      <c r="E20" t="s">
        <v>620</v>
      </c>
      <c r="F20">
        <v>9</v>
      </c>
      <c r="G20">
        <v>1465</v>
      </c>
      <c r="O20">
        <v>19</v>
      </c>
      <c r="P20" s="2">
        <v>78.278399999999991</v>
      </c>
      <c r="Q20">
        <v>72</v>
      </c>
      <c r="R20">
        <v>9</v>
      </c>
      <c r="S20">
        <f t="shared" si="0"/>
        <v>81</v>
      </c>
    </row>
    <row r="21" spans="1:19" x14ac:dyDescent="0.25">
      <c r="A21" t="s">
        <v>0</v>
      </c>
      <c r="B21">
        <v>19</v>
      </c>
      <c r="C21" t="s">
        <v>889</v>
      </c>
      <c r="D21" t="s">
        <v>890</v>
      </c>
      <c r="E21" t="s">
        <v>621</v>
      </c>
      <c r="F21">
        <v>9</v>
      </c>
      <c r="G21">
        <v>1483</v>
      </c>
      <c r="O21">
        <v>20</v>
      </c>
      <c r="P21" s="2">
        <v>85.497600000000006</v>
      </c>
      <c r="Q21">
        <v>79</v>
      </c>
      <c r="R21">
        <v>10</v>
      </c>
      <c r="S21">
        <f t="shared" si="0"/>
        <v>89</v>
      </c>
    </row>
    <row r="22" spans="1:19" x14ac:dyDescent="0.25">
      <c r="A22" t="s">
        <v>0</v>
      </c>
      <c r="B22">
        <v>20</v>
      </c>
      <c r="C22" t="s">
        <v>891</v>
      </c>
      <c r="D22" t="s">
        <v>892</v>
      </c>
      <c r="E22" t="s">
        <v>622</v>
      </c>
      <c r="F22">
        <v>10</v>
      </c>
      <c r="G22">
        <v>1620</v>
      </c>
      <c r="O22">
        <v>21</v>
      </c>
      <c r="P22" s="2">
        <v>93.89439999999999</v>
      </c>
      <c r="Q22">
        <v>86</v>
      </c>
      <c r="R22">
        <v>11</v>
      </c>
      <c r="S22">
        <f t="shared" si="0"/>
        <v>97</v>
      </c>
    </row>
    <row r="23" spans="1:19" x14ac:dyDescent="0.25">
      <c r="A23" t="s">
        <v>0</v>
      </c>
      <c r="B23">
        <v>21</v>
      </c>
      <c r="C23" t="s">
        <v>893</v>
      </c>
      <c r="D23" t="s">
        <v>894</v>
      </c>
      <c r="E23" t="s">
        <v>623</v>
      </c>
      <c r="F23">
        <v>11</v>
      </c>
      <c r="G23">
        <v>1778</v>
      </c>
      <c r="O23">
        <v>22</v>
      </c>
      <c r="P23" s="2">
        <v>96.966399999999993</v>
      </c>
      <c r="Q23">
        <v>87</v>
      </c>
      <c r="R23">
        <v>11</v>
      </c>
      <c r="S23">
        <f t="shared" si="0"/>
        <v>98</v>
      </c>
    </row>
    <row r="24" spans="1:19" x14ac:dyDescent="0.25">
      <c r="A24" t="s">
        <v>0</v>
      </c>
      <c r="B24">
        <v>22</v>
      </c>
      <c r="C24" t="s">
        <v>895</v>
      </c>
      <c r="D24" t="s">
        <v>896</v>
      </c>
      <c r="E24" t="s">
        <v>624</v>
      </c>
      <c r="F24">
        <v>11</v>
      </c>
      <c r="G24">
        <v>1836</v>
      </c>
      <c r="O24">
        <v>23</v>
      </c>
      <c r="P24" s="2">
        <v>86.419200000000004</v>
      </c>
      <c r="Q24">
        <v>80</v>
      </c>
      <c r="R24">
        <v>10</v>
      </c>
      <c r="S24">
        <f t="shared" si="0"/>
        <v>90</v>
      </c>
    </row>
    <row r="25" spans="1:19" x14ac:dyDescent="0.25">
      <c r="A25" t="s">
        <v>0</v>
      </c>
      <c r="B25">
        <v>23</v>
      </c>
      <c r="C25" t="s">
        <v>897</v>
      </c>
      <c r="D25" t="s">
        <v>898</v>
      </c>
      <c r="E25" t="s">
        <v>625</v>
      </c>
      <c r="F25">
        <v>10</v>
      </c>
      <c r="G25">
        <v>1637</v>
      </c>
      <c r="O25">
        <v>24</v>
      </c>
      <c r="P25" s="2">
        <v>103.92960000000001</v>
      </c>
      <c r="Q25">
        <v>95</v>
      </c>
      <c r="R25">
        <v>12</v>
      </c>
      <c r="S25">
        <f t="shared" si="0"/>
        <v>107</v>
      </c>
    </row>
    <row r="26" spans="1:19" x14ac:dyDescent="0.25">
      <c r="A26" t="s">
        <v>0</v>
      </c>
      <c r="B26">
        <v>24</v>
      </c>
      <c r="C26" t="s">
        <v>899</v>
      </c>
      <c r="D26" t="s">
        <v>900</v>
      </c>
      <c r="E26" t="s">
        <v>626</v>
      </c>
      <c r="F26">
        <v>12</v>
      </c>
      <c r="G26">
        <v>1968</v>
      </c>
      <c r="O26">
        <v>25</v>
      </c>
      <c r="P26" s="2">
        <v>111.5072</v>
      </c>
      <c r="Q26">
        <v>102</v>
      </c>
      <c r="R26">
        <v>13</v>
      </c>
      <c r="S26">
        <f t="shared" si="0"/>
        <v>115</v>
      </c>
    </row>
    <row r="27" spans="1:19" x14ac:dyDescent="0.25">
      <c r="A27" t="s">
        <v>0</v>
      </c>
      <c r="B27">
        <v>25</v>
      </c>
      <c r="C27" t="s">
        <v>901</v>
      </c>
      <c r="D27" t="s">
        <v>902</v>
      </c>
      <c r="E27" t="s">
        <v>627</v>
      </c>
      <c r="F27">
        <v>13</v>
      </c>
      <c r="G27">
        <v>2112</v>
      </c>
      <c r="O27">
        <v>26</v>
      </c>
      <c r="P27" s="2">
        <v>111.91680000000001</v>
      </c>
      <c r="Q27">
        <v>103</v>
      </c>
      <c r="R27">
        <v>13</v>
      </c>
      <c r="S27">
        <f t="shared" si="0"/>
        <v>116</v>
      </c>
    </row>
    <row r="28" spans="1:19" x14ac:dyDescent="0.25">
      <c r="A28" t="s">
        <v>0</v>
      </c>
      <c r="B28">
        <v>26</v>
      </c>
      <c r="C28" t="s">
        <v>903</v>
      </c>
      <c r="D28" t="s">
        <v>904</v>
      </c>
      <c r="E28" t="s">
        <v>628</v>
      </c>
      <c r="F28">
        <v>13</v>
      </c>
      <c r="G28">
        <v>2120</v>
      </c>
      <c r="O28">
        <v>27</v>
      </c>
      <c r="P28" s="2">
        <v>112.83839999999999</v>
      </c>
      <c r="Q28">
        <v>104</v>
      </c>
      <c r="R28">
        <v>13</v>
      </c>
      <c r="S28">
        <f t="shared" si="0"/>
        <v>117</v>
      </c>
    </row>
    <row r="29" spans="1:19" x14ac:dyDescent="0.25">
      <c r="A29" t="s">
        <v>0</v>
      </c>
      <c r="B29">
        <v>27</v>
      </c>
      <c r="C29" t="s">
        <v>905</v>
      </c>
      <c r="D29" t="s">
        <v>906</v>
      </c>
      <c r="E29" t="s">
        <v>545</v>
      </c>
      <c r="F29">
        <v>13</v>
      </c>
      <c r="G29">
        <v>2137</v>
      </c>
      <c r="O29">
        <v>28</v>
      </c>
      <c r="P29" s="2">
        <v>120.56960000000001</v>
      </c>
      <c r="Q29">
        <v>111</v>
      </c>
      <c r="R29">
        <v>14</v>
      </c>
      <c r="S29">
        <f t="shared" si="0"/>
        <v>125</v>
      </c>
    </row>
    <row r="30" spans="1:19" x14ac:dyDescent="0.25">
      <c r="A30" t="s">
        <v>0</v>
      </c>
      <c r="B30">
        <v>28</v>
      </c>
      <c r="C30" t="s">
        <v>907</v>
      </c>
      <c r="D30" t="s">
        <v>908</v>
      </c>
      <c r="E30" t="s">
        <v>629</v>
      </c>
      <c r="F30">
        <v>14</v>
      </c>
      <c r="G30">
        <v>2284</v>
      </c>
      <c r="O30">
        <v>29</v>
      </c>
      <c r="P30" s="2">
        <v>128.6592</v>
      </c>
      <c r="Q30">
        <v>118</v>
      </c>
      <c r="R30">
        <v>15</v>
      </c>
      <c r="S30">
        <f t="shared" si="0"/>
        <v>133</v>
      </c>
    </row>
    <row r="31" spans="1:19" x14ac:dyDescent="0.25">
      <c r="A31" t="s">
        <v>0</v>
      </c>
      <c r="B31">
        <v>29</v>
      </c>
      <c r="C31" t="s">
        <v>909</v>
      </c>
      <c r="D31" t="s">
        <v>910</v>
      </c>
      <c r="E31" t="s">
        <v>220</v>
      </c>
      <c r="F31">
        <v>15</v>
      </c>
      <c r="G31">
        <v>2437</v>
      </c>
      <c r="O31">
        <v>30</v>
      </c>
      <c r="P31" s="2">
        <v>128.608</v>
      </c>
      <c r="Q31">
        <v>119</v>
      </c>
      <c r="R31">
        <v>15</v>
      </c>
      <c r="S31">
        <f t="shared" si="0"/>
        <v>134</v>
      </c>
    </row>
    <row r="32" spans="1:19" x14ac:dyDescent="0.25">
      <c r="A32" t="s">
        <v>0</v>
      </c>
      <c r="B32">
        <v>30</v>
      </c>
      <c r="C32" t="s">
        <v>911</v>
      </c>
      <c r="D32" t="s">
        <v>912</v>
      </c>
      <c r="E32" t="s">
        <v>159</v>
      </c>
      <c r="F32">
        <v>15</v>
      </c>
      <c r="G32">
        <v>2436</v>
      </c>
      <c r="O32">
        <v>31</v>
      </c>
      <c r="P32" s="2">
        <v>129.99039999999999</v>
      </c>
      <c r="Q32">
        <v>120</v>
      </c>
      <c r="R32">
        <v>15</v>
      </c>
      <c r="S32">
        <f t="shared" si="0"/>
        <v>135</v>
      </c>
    </row>
    <row r="33" spans="1:19" x14ac:dyDescent="0.25">
      <c r="A33" t="s">
        <v>0</v>
      </c>
      <c r="B33">
        <v>31</v>
      </c>
      <c r="C33" t="s">
        <v>913</v>
      </c>
      <c r="D33" t="s">
        <v>914</v>
      </c>
      <c r="E33" t="s">
        <v>630</v>
      </c>
      <c r="F33">
        <v>15</v>
      </c>
      <c r="G33">
        <v>2462</v>
      </c>
      <c r="O33">
        <v>32</v>
      </c>
      <c r="P33" s="2">
        <v>139.0016</v>
      </c>
      <c r="Q33">
        <v>127</v>
      </c>
      <c r="R33">
        <v>16</v>
      </c>
      <c r="S33">
        <f t="shared" si="0"/>
        <v>143</v>
      </c>
    </row>
    <row r="34" spans="1:19" x14ac:dyDescent="0.25">
      <c r="A34" t="s">
        <v>0</v>
      </c>
      <c r="B34">
        <v>32</v>
      </c>
      <c r="C34" t="s">
        <v>915</v>
      </c>
      <c r="D34" t="s">
        <v>916</v>
      </c>
      <c r="E34" t="s">
        <v>631</v>
      </c>
      <c r="F34">
        <v>16</v>
      </c>
      <c r="G34">
        <v>2632</v>
      </c>
      <c r="O34">
        <v>33</v>
      </c>
      <c r="P34" s="2">
        <v>129.52960000000002</v>
      </c>
      <c r="Q34">
        <v>120</v>
      </c>
      <c r="R34">
        <v>15</v>
      </c>
      <c r="S34">
        <f t="shared" si="0"/>
        <v>135</v>
      </c>
    </row>
    <row r="35" spans="1:19" x14ac:dyDescent="0.25">
      <c r="A35" t="s">
        <v>0</v>
      </c>
      <c r="B35">
        <v>33</v>
      </c>
      <c r="C35" t="s">
        <v>917</v>
      </c>
      <c r="D35" t="s">
        <v>918</v>
      </c>
      <c r="E35" t="s">
        <v>244</v>
      </c>
      <c r="F35">
        <v>15</v>
      </c>
      <c r="G35">
        <v>2453</v>
      </c>
      <c r="O35">
        <v>34</v>
      </c>
      <c r="P35" s="2">
        <v>135.72479999999999</v>
      </c>
      <c r="Q35">
        <v>125</v>
      </c>
      <c r="R35">
        <v>16</v>
      </c>
      <c r="S35">
        <f t="shared" si="0"/>
        <v>141</v>
      </c>
    </row>
    <row r="36" spans="1:19" x14ac:dyDescent="0.25">
      <c r="A36" t="s">
        <v>0</v>
      </c>
      <c r="B36">
        <v>34</v>
      </c>
      <c r="C36" t="s">
        <v>919</v>
      </c>
      <c r="D36" t="s">
        <v>920</v>
      </c>
      <c r="E36" t="s">
        <v>632</v>
      </c>
      <c r="F36">
        <v>16</v>
      </c>
      <c r="G36">
        <v>2570</v>
      </c>
      <c r="O36">
        <v>35</v>
      </c>
      <c r="P36" s="2">
        <v>147.2448</v>
      </c>
      <c r="Q36">
        <v>136</v>
      </c>
      <c r="R36">
        <v>17</v>
      </c>
      <c r="S36">
        <f t="shared" si="0"/>
        <v>153</v>
      </c>
    </row>
    <row r="37" spans="1:19" x14ac:dyDescent="0.25">
      <c r="A37" t="s">
        <v>0</v>
      </c>
      <c r="B37">
        <v>35</v>
      </c>
      <c r="C37" t="s">
        <v>921</v>
      </c>
      <c r="D37" t="s">
        <v>922</v>
      </c>
      <c r="E37" t="s">
        <v>633</v>
      </c>
      <c r="F37">
        <v>17</v>
      </c>
      <c r="G37">
        <v>2789</v>
      </c>
      <c r="O37">
        <v>36</v>
      </c>
      <c r="P37" s="2">
        <v>155.43679999999998</v>
      </c>
      <c r="Q37">
        <v>143</v>
      </c>
      <c r="R37">
        <v>18</v>
      </c>
      <c r="S37">
        <f t="shared" si="0"/>
        <v>161</v>
      </c>
    </row>
    <row r="38" spans="1:19" x14ac:dyDescent="0.25">
      <c r="A38" t="s">
        <v>0</v>
      </c>
      <c r="B38">
        <v>36</v>
      </c>
      <c r="C38" t="s">
        <v>923</v>
      </c>
      <c r="D38" t="s">
        <v>924</v>
      </c>
      <c r="E38" t="s">
        <v>634</v>
      </c>
      <c r="F38">
        <v>18</v>
      </c>
      <c r="G38">
        <v>2943</v>
      </c>
      <c r="O38">
        <v>37</v>
      </c>
      <c r="P38" s="2">
        <v>161.9392</v>
      </c>
      <c r="Q38">
        <v>150</v>
      </c>
      <c r="R38">
        <v>19</v>
      </c>
      <c r="S38">
        <f t="shared" si="0"/>
        <v>169</v>
      </c>
    </row>
    <row r="39" spans="1:19" x14ac:dyDescent="0.25">
      <c r="A39" t="s">
        <v>0</v>
      </c>
      <c r="B39">
        <v>37</v>
      </c>
      <c r="C39" t="s">
        <v>925</v>
      </c>
      <c r="D39" t="s">
        <v>926</v>
      </c>
      <c r="E39" t="s">
        <v>635</v>
      </c>
      <c r="F39">
        <v>19</v>
      </c>
      <c r="G39">
        <v>3067</v>
      </c>
      <c r="O39">
        <v>38</v>
      </c>
      <c r="P39" s="2">
        <v>163.01439999999999</v>
      </c>
      <c r="Q39">
        <v>151</v>
      </c>
      <c r="R39">
        <v>19</v>
      </c>
      <c r="S39">
        <f t="shared" si="0"/>
        <v>170</v>
      </c>
    </row>
    <row r="40" spans="1:19" x14ac:dyDescent="0.25">
      <c r="A40" t="s">
        <v>0</v>
      </c>
      <c r="B40">
        <v>38</v>
      </c>
      <c r="C40" t="s">
        <v>927</v>
      </c>
      <c r="D40" t="s">
        <v>928</v>
      </c>
      <c r="E40" t="s">
        <v>636</v>
      </c>
      <c r="F40">
        <v>19</v>
      </c>
      <c r="G40">
        <v>3087</v>
      </c>
      <c r="O40">
        <v>39</v>
      </c>
      <c r="P40" s="2">
        <v>154.77120000000002</v>
      </c>
      <c r="Q40">
        <v>144</v>
      </c>
      <c r="R40">
        <v>18</v>
      </c>
      <c r="S40">
        <f t="shared" si="0"/>
        <v>162</v>
      </c>
    </row>
    <row r="41" spans="1:19" x14ac:dyDescent="0.25">
      <c r="A41" t="s">
        <v>0</v>
      </c>
      <c r="B41">
        <v>39</v>
      </c>
      <c r="C41" t="s">
        <v>929</v>
      </c>
      <c r="D41" t="s">
        <v>930</v>
      </c>
      <c r="E41" t="s">
        <v>637</v>
      </c>
      <c r="F41">
        <v>18</v>
      </c>
      <c r="G41">
        <v>2931</v>
      </c>
      <c r="O41">
        <v>40</v>
      </c>
      <c r="P41" s="2">
        <v>172.0256</v>
      </c>
      <c r="Q41">
        <v>159</v>
      </c>
      <c r="R41">
        <v>20</v>
      </c>
      <c r="S41">
        <f t="shared" si="0"/>
        <v>179</v>
      </c>
    </row>
    <row r="42" spans="1:19" x14ac:dyDescent="0.25">
      <c r="A42" t="s">
        <v>0</v>
      </c>
      <c r="B42">
        <v>40</v>
      </c>
      <c r="C42" t="s">
        <v>931</v>
      </c>
      <c r="D42" t="s">
        <v>932</v>
      </c>
      <c r="E42" t="s">
        <v>638</v>
      </c>
      <c r="F42">
        <v>20</v>
      </c>
      <c r="G42">
        <v>3258</v>
      </c>
      <c r="O42">
        <v>41</v>
      </c>
      <c r="P42" s="2">
        <v>180.93439999999998</v>
      </c>
      <c r="Q42">
        <v>166</v>
      </c>
      <c r="R42">
        <v>21</v>
      </c>
      <c r="S42">
        <f t="shared" si="0"/>
        <v>187</v>
      </c>
    </row>
    <row r="43" spans="1:19" x14ac:dyDescent="0.25">
      <c r="A43" t="s">
        <v>0</v>
      </c>
      <c r="B43">
        <v>41</v>
      </c>
      <c r="C43" t="s">
        <v>933</v>
      </c>
      <c r="D43" t="s">
        <v>934</v>
      </c>
      <c r="E43" t="s">
        <v>639</v>
      </c>
      <c r="F43">
        <v>21</v>
      </c>
      <c r="G43">
        <v>3427</v>
      </c>
      <c r="O43">
        <v>42</v>
      </c>
      <c r="P43" s="2">
        <v>171.4624</v>
      </c>
      <c r="Q43">
        <v>159</v>
      </c>
      <c r="R43">
        <v>20</v>
      </c>
      <c r="S43">
        <f t="shared" si="0"/>
        <v>179</v>
      </c>
    </row>
    <row r="44" spans="1:19" x14ac:dyDescent="0.25">
      <c r="A44" t="s">
        <v>0</v>
      </c>
      <c r="B44">
        <v>42</v>
      </c>
      <c r="C44" t="s">
        <v>935</v>
      </c>
      <c r="D44" t="s">
        <v>936</v>
      </c>
      <c r="E44" t="s">
        <v>640</v>
      </c>
      <c r="F44">
        <v>20</v>
      </c>
      <c r="G44">
        <v>3248</v>
      </c>
      <c r="O44">
        <v>43</v>
      </c>
      <c r="P44" s="2">
        <v>181.44639999999998</v>
      </c>
      <c r="Q44">
        <v>168</v>
      </c>
      <c r="R44">
        <v>21</v>
      </c>
      <c r="S44">
        <f t="shared" si="0"/>
        <v>189</v>
      </c>
    </row>
    <row r="45" spans="1:19" x14ac:dyDescent="0.25">
      <c r="A45" t="s">
        <v>0</v>
      </c>
      <c r="B45">
        <v>43</v>
      </c>
      <c r="C45" t="s">
        <v>937</v>
      </c>
      <c r="D45" t="s">
        <v>938</v>
      </c>
      <c r="E45" t="s">
        <v>641</v>
      </c>
      <c r="F45">
        <v>21</v>
      </c>
      <c r="G45">
        <v>3436</v>
      </c>
      <c r="O45">
        <v>44</v>
      </c>
      <c r="P45" s="2">
        <v>181.39520000000002</v>
      </c>
      <c r="Q45">
        <v>167</v>
      </c>
      <c r="R45">
        <v>21</v>
      </c>
      <c r="S45">
        <f t="shared" si="0"/>
        <v>188</v>
      </c>
    </row>
    <row r="46" spans="1:19" x14ac:dyDescent="0.25">
      <c r="A46" t="s">
        <v>0</v>
      </c>
      <c r="B46">
        <v>44</v>
      </c>
      <c r="C46" t="s">
        <v>939</v>
      </c>
      <c r="D46" t="s">
        <v>940</v>
      </c>
      <c r="E46" t="s">
        <v>642</v>
      </c>
      <c r="F46">
        <v>21</v>
      </c>
      <c r="G46">
        <v>3435</v>
      </c>
      <c r="O46">
        <v>45</v>
      </c>
      <c r="P46" s="2">
        <v>197.36960000000002</v>
      </c>
      <c r="Q46">
        <v>182</v>
      </c>
      <c r="R46">
        <v>23</v>
      </c>
      <c r="S46">
        <f t="shared" si="0"/>
        <v>205</v>
      </c>
    </row>
    <row r="47" spans="1:19" x14ac:dyDescent="0.25">
      <c r="A47" t="s">
        <v>0</v>
      </c>
      <c r="B47">
        <v>45</v>
      </c>
      <c r="C47" t="s">
        <v>941</v>
      </c>
      <c r="D47" t="s">
        <v>942</v>
      </c>
      <c r="E47" t="s">
        <v>643</v>
      </c>
      <c r="F47">
        <v>23</v>
      </c>
      <c r="G47">
        <v>3738</v>
      </c>
      <c r="O47">
        <v>46</v>
      </c>
      <c r="P47" s="2">
        <v>190.40639999999999</v>
      </c>
      <c r="Q47">
        <v>175</v>
      </c>
      <c r="R47">
        <v>22</v>
      </c>
      <c r="S47">
        <f t="shared" si="0"/>
        <v>197</v>
      </c>
    </row>
    <row r="48" spans="1:19" x14ac:dyDescent="0.25">
      <c r="A48" t="s">
        <v>0</v>
      </c>
      <c r="B48">
        <v>46</v>
      </c>
      <c r="C48" t="s">
        <v>943</v>
      </c>
      <c r="D48" t="s">
        <v>944</v>
      </c>
      <c r="E48" t="s">
        <v>644</v>
      </c>
      <c r="F48">
        <v>22</v>
      </c>
      <c r="G48">
        <v>3606</v>
      </c>
      <c r="O48">
        <v>47</v>
      </c>
      <c r="P48" s="2">
        <v>180.7296</v>
      </c>
      <c r="Q48">
        <v>168</v>
      </c>
      <c r="R48">
        <v>21</v>
      </c>
      <c r="S48">
        <f t="shared" si="0"/>
        <v>189</v>
      </c>
    </row>
    <row r="49" spans="1:19" x14ac:dyDescent="0.25">
      <c r="A49" t="s">
        <v>0</v>
      </c>
      <c r="B49">
        <v>47</v>
      </c>
      <c r="C49" t="s">
        <v>945</v>
      </c>
      <c r="D49" t="s">
        <v>946</v>
      </c>
      <c r="E49" t="s">
        <v>645</v>
      </c>
      <c r="F49">
        <v>21</v>
      </c>
      <c r="G49">
        <v>3423</v>
      </c>
      <c r="O49">
        <v>48</v>
      </c>
      <c r="P49" s="2">
        <v>204.7424</v>
      </c>
      <c r="Q49">
        <v>191</v>
      </c>
      <c r="R49">
        <v>24</v>
      </c>
      <c r="S49">
        <f t="shared" si="0"/>
        <v>215</v>
      </c>
    </row>
    <row r="50" spans="1:19" x14ac:dyDescent="0.25">
      <c r="A50" t="s">
        <v>0</v>
      </c>
      <c r="B50">
        <v>48</v>
      </c>
      <c r="C50" t="s">
        <v>947</v>
      </c>
      <c r="D50" t="s">
        <v>948</v>
      </c>
      <c r="E50" t="s">
        <v>646</v>
      </c>
      <c r="F50">
        <v>24</v>
      </c>
      <c r="G50">
        <v>3878</v>
      </c>
      <c r="O50">
        <v>49</v>
      </c>
      <c r="P50" s="2">
        <v>213.8048</v>
      </c>
      <c r="Q50">
        <v>198</v>
      </c>
      <c r="R50">
        <v>25</v>
      </c>
      <c r="S50">
        <f t="shared" si="0"/>
        <v>223</v>
      </c>
    </row>
    <row r="51" spans="1:19" x14ac:dyDescent="0.25">
      <c r="A51" t="s">
        <v>0</v>
      </c>
      <c r="B51">
        <v>49</v>
      </c>
      <c r="C51" t="s">
        <v>949</v>
      </c>
      <c r="D51" t="s">
        <v>950</v>
      </c>
      <c r="E51" t="s">
        <v>647</v>
      </c>
      <c r="F51">
        <v>25</v>
      </c>
      <c r="G51">
        <v>4049</v>
      </c>
      <c r="O51">
        <v>50</v>
      </c>
      <c r="P51" s="2">
        <v>216.05760000000001</v>
      </c>
      <c r="Q51">
        <v>199</v>
      </c>
      <c r="R51">
        <v>25</v>
      </c>
      <c r="S51">
        <f t="shared" si="0"/>
        <v>224</v>
      </c>
    </row>
    <row r="52" spans="1:19" x14ac:dyDescent="0.25">
      <c r="A52" t="s">
        <v>0</v>
      </c>
      <c r="B52">
        <v>50</v>
      </c>
      <c r="C52" t="s">
        <v>951</v>
      </c>
      <c r="D52" t="s">
        <v>952</v>
      </c>
      <c r="E52" t="s">
        <v>648</v>
      </c>
      <c r="F52">
        <v>25</v>
      </c>
      <c r="G52">
        <v>4092</v>
      </c>
      <c r="O52">
        <v>51</v>
      </c>
      <c r="P52" s="2">
        <v>217.952</v>
      </c>
      <c r="Q52">
        <v>200</v>
      </c>
      <c r="R52">
        <v>25</v>
      </c>
      <c r="S52">
        <f t="shared" si="0"/>
        <v>225</v>
      </c>
    </row>
    <row r="53" spans="1:19" x14ac:dyDescent="0.25">
      <c r="A53" t="s">
        <v>0</v>
      </c>
      <c r="B53">
        <v>51</v>
      </c>
      <c r="C53" t="s">
        <v>953</v>
      </c>
      <c r="D53" t="s">
        <v>954</v>
      </c>
      <c r="E53" t="s">
        <v>649</v>
      </c>
      <c r="F53">
        <v>25</v>
      </c>
      <c r="G53">
        <v>4128</v>
      </c>
      <c r="O53">
        <v>52</v>
      </c>
      <c r="P53" s="2">
        <v>215.54560000000001</v>
      </c>
      <c r="Q53">
        <v>199</v>
      </c>
      <c r="R53">
        <v>25</v>
      </c>
      <c r="S53">
        <f t="shared" si="0"/>
        <v>224</v>
      </c>
    </row>
    <row r="54" spans="1:19" x14ac:dyDescent="0.25">
      <c r="A54" t="s">
        <v>0</v>
      </c>
      <c r="B54">
        <v>52</v>
      </c>
      <c r="C54" t="s">
        <v>955</v>
      </c>
      <c r="D54" t="s">
        <v>956</v>
      </c>
      <c r="E54" t="s">
        <v>650</v>
      </c>
      <c r="F54">
        <v>25</v>
      </c>
      <c r="G54">
        <v>4082</v>
      </c>
      <c r="O54">
        <v>53</v>
      </c>
      <c r="P54" s="2">
        <v>212.2688</v>
      </c>
      <c r="Q54">
        <v>198</v>
      </c>
      <c r="R54">
        <v>25</v>
      </c>
      <c r="S54">
        <f t="shared" si="0"/>
        <v>223</v>
      </c>
    </row>
    <row r="55" spans="1:19" x14ac:dyDescent="0.25">
      <c r="A55" t="s">
        <v>0</v>
      </c>
      <c r="B55">
        <v>53</v>
      </c>
      <c r="C55" t="s">
        <v>957</v>
      </c>
      <c r="D55" t="s">
        <v>958</v>
      </c>
      <c r="E55" t="s">
        <v>651</v>
      </c>
      <c r="F55">
        <v>25</v>
      </c>
      <c r="G55">
        <v>4020</v>
      </c>
      <c r="O55">
        <v>54</v>
      </c>
      <c r="P55" s="2">
        <v>231.3152</v>
      </c>
      <c r="Q55">
        <v>215</v>
      </c>
      <c r="R55">
        <v>27</v>
      </c>
      <c r="S55">
        <f t="shared" si="0"/>
        <v>242</v>
      </c>
    </row>
    <row r="56" spans="1:19" x14ac:dyDescent="0.25">
      <c r="A56" t="s">
        <v>0</v>
      </c>
      <c r="B56">
        <v>54</v>
      </c>
      <c r="C56" t="s">
        <v>959</v>
      </c>
      <c r="D56" t="s">
        <v>960</v>
      </c>
      <c r="E56" t="s">
        <v>652</v>
      </c>
      <c r="F56">
        <v>27</v>
      </c>
      <c r="G56">
        <v>4381</v>
      </c>
      <c r="O56">
        <v>55</v>
      </c>
      <c r="P56" s="2">
        <v>233.46559999999999</v>
      </c>
      <c r="Q56">
        <v>216</v>
      </c>
      <c r="R56">
        <v>27</v>
      </c>
      <c r="S56">
        <f t="shared" si="0"/>
        <v>243</v>
      </c>
    </row>
    <row r="57" spans="1:19" x14ac:dyDescent="0.25">
      <c r="A57" t="s">
        <v>0</v>
      </c>
      <c r="B57">
        <v>55</v>
      </c>
      <c r="C57" t="s">
        <v>961</v>
      </c>
      <c r="D57" t="s">
        <v>962</v>
      </c>
      <c r="E57" t="s">
        <v>653</v>
      </c>
      <c r="F57">
        <v>27</v>
      </c>
      <c r="G57">
        <v>4422</v>
      </c>
      <c r="O57">
        <v>56</v>
      </c>
      <c r="P57" s="2">
        <v>232.6464</v>
      </c>
      <c r="Q57">
        <v>215</v>
      </c>
      <c r="R57">
        <v>27</v>
      </c>
      <c r="S57">
        <f t="shared" si="0"/>
        <v>242</v>
      </c>
    </row>
    <row r="58" spans="1:19" x14ac:dyDescent="0.25">
      <c r="A58" t="s">
        <v>0</v>
      </c>
      <c r="B58">
        <v>56</v>
      </c>
      <c r="C58" t="s">
        <v>963</v>
      </c>
      <c r="D58" t="s">
        <v>964</v>
      </c>
      <c r="E58" t="s">
        <v>654</v>
      </c>
      <c r="F58">
        <v>27</v>
      </c>
      <c r="G58">
        <v>4406</v>
      </c>
      <c r="O58">
        <v>57</v>
      </c>
      <c r="P58" s="2">
        <v>232.6464</v>
      </c>
      <c r="Q58">
        <v>214</v>
      </c>
      <c r="R58">
        <v>27</v>
      </c>
      <c r="S58">
        <f t="shared" si="0"/>
        <v>241</v>
      </c>
    </row>
    <row r="59" spans="1:19" x14ac:dyDescent="0.25">
      <c r="A59" t="s">
        <v>0</v>
      </c>
      <c r="B59">
        <v>57</v>
      </c>
      <c r="C59" t="s">
        <v>965</v>
      </c>
      <c r="D59" t="s">
        <v>966</v>
      </c>
      <c r="E59" t="s">
        <v>654</v>
      </c>
      <c r="F59">
        <v>27</v>
      </c>
      <c r="G59">
        <v>4406</v>
      </c>
      <c r="O59">
        <v>58</v>
      </c>
      <c r="P59" s="2">
        <v>249.74720000000002</v>
      </c>
      <c r="Q59">
        <v>231</v>
      </c>
      <c r="R59">
        <v>29</v>
      </c>
      <c r="S59">
        <f t="shared" si="0"/>
        <v>260</v>
      </c>
    </row>
    <row r="60" spans="1:19" x14ac:dyDescent="0.25">
      <c r="A60" t="s">
        <v>0</v>
      </c>
      <c r="B60">
        <v>58</v>
      </c>
      <c r="C60" t="s">
        <v>967</v>
      </c>
      <c r="D60" t="s">
        <v>968</v>
      </c>
      <c r="E60" t="s">
        <v>655</v>
      </c>
      <c r="F60">
        <v>29</v>
      </c>
      <c r="G60">
        <v>4730</v>
      </c>
      <c r="O60">
        <v>59</v>
      </c>
      <c r="P60" s="2">
        <v>240.4288</v>
      </c>
      <c r="Q60">
        <v>224</v>
      </c>
      <c r="R60">
        <v>28</v>
      </c>
      <c r="S60">
        <f t="shared" si="0"/>
        <v>252</v>
      </c>
    </row>
    <row r="61" spans="1:19" x14ac:dyDescent="0.25">
      <c r="A61" t="s">
        <v>0</v>
      </c>
      <c r="B61">
        <v>59</v>
      </c>
      <c r="C61" t="s">
        <v>969</v>
      </c>
      <c r="D61" t="s">
        <v>970</v>
      </c>
      <c r="E61" t="s">
        <v>656</v>
      </c>
      <c r="F61">
        <v>28</v>
      </c>
      <c r="G61">
        <v>4554</v>
      </c>
      <c r="O61">
        <v>60</v>
      </c>
      <c r="P61" s="2">
        <v>231.00800000000001</v>
      </c>
      <c r="Q61">
        <v>215</v>
      </c>
      <c r="R61">
        <v>27</v>
      </c>
      <c r="S61">
        <f t="shared" si="0"/>
        <v>242</v>
      </c>
    </row>
    <row r="62" spans="1:19" x14ac:dyDescent="0.25">
      <c r="A62" t="s">
        <v>0</v>
      </c>
      <c r="B62">
        <v>60</v>
      </c>
      <c r="C62" t="s">
        <v>971</v>
      </c>
      <c r="D62" t="s">
        <v>972</v>
      </c>
      <c r="E62" t="s">
        <v>657</v>
      </c>
      <c r="F62">
        <v>27</v>
      </c>
      <c r="G62">
        <v>4375</v>
      </c>
      <c r="O62">
        <v>61</v>
      </c>
      <c r="P62" s="2">
        <v>3.7311999999999999</v>
      </c>
      <c r="Q62">
        <v>2</v>
      </c>
      <c r="R62">
        <v>0</v>
      </c>
      <c r="S62">
        <f t="shared" si="0"/>
        <v>2</v>
      </c>
    </row>
    <row r="63" spans="1:19" x14ac:dyDescent="0.25">
      <c r="A63" t="s">
        <v>0</v>
      </c>
      <c r="B63">
        <v>61</v>
      </c>
      <c r="C63" t="s">
        <v>973</v>
      </c>
      <c r="D63" t="s">
        <v>974</v>
      </c>
      <c r="E63" t="s">
        <v>136</v>
      </c>
      <c r="F63">
        <v>0</v>
      </c>
      <c r="G63">
        <v>71</v>
      </c>
      <c r="O63">
        <v>62</v>
      </c>
      <c r="P63" s="2">
        <v>213.39520000000002</v>
      </c>
      <c r="Q63">
        <v>196</v>
      </c>
      <c r="R63">
        <v>24</v>
      </c>
      <c r="S63">
        <f t="shared" si="0"/>
        <v>220</v>
      </c>
    </row>
    <row r="64" spans="1:19" x14ac:dyDescent="0.25">
      <c r="A64" t="s">
        <v>0</v>
      </c>
      <c r="B64">
        <v>62</v>
      </c>
      <c r="C64" t="s">
        <v>975</v>
      </c>
      <c r="D64" t="s">
        <v>976</v>
      </c>
      <c r="E64" t="s">
        <v>658</v>
      </c>
      <c r="F64">
        <v>24</v>
      </c>
      <c r="G64">
        <v>4041</v>
      </c>
      <c r="O64">
        <v>63</v>
      </c>
      <c r="P64" s="2">
        <v>8.3391999999999999</v>
      </c>
      <c r="Q64">
        <v>6</v>
      </c>
      <c r="R64">
        <v>1</v>
      </c>
      <c r="S64">
        <f t="shared" si="0"/>
        <v>7</v>
      </c>
    </row>
    <row r="65" spans="1:19" x14ac:dyDescent="0.25">
      <c r="A65" t="s">
        <v>0</v>
      </c>
      <c r="B65">
        <v>63</v>
      </c>
      <c r="C65" t="s">
        <v>977</v>
      </c>
      <c r="D65" t="s">
        <v>978</v>
      </c>
      <c r="E65" t="s">
        <v>474</v>
      </c>
      <c r="F65">
        <v>1</v>
      </c>
      <c r="G65">
        <v>157</v>
      </c>
      <c r="O65">
        <v>64</v>
      </c>
      <c r="P65" s="2">
        <v>254.56</v>
      </c>
      <c r="Q65">
        <v>233</v>
      </c>
      <c r="R65">
        <v>29</v>
      </c>
      <c r="S65">
        <f t="shared" si="0"/>
        <v>262</v>
      </c>
    </row>
    <row r="66" spans="1:19" x14ac:dyDescent="0.25">
      <c r="A66" t="s">
        <v>0</v>
      </c>
      <c r="B66">
        <v>64</v>
      </c>
      <c r="C66" t="s">
        <v>979</v>
      </c>
      <c r="D66" t="s">
        <v>980</v>
      </c>
      <c r="E66" t="s">
        <v>659</v>
      </c>
      <c r="F66">
        <v>29</v>
      </c>
      <c r="G66">
        <v>4821</v>
      </c>
    </row>
    <row r="67" spans="1:19" x14ac:dyDescent="0.25">
      <c r="A67" t="s">
        <v>0</v>
      </c>
      <c r="G67">
        <f>AVERAGE(G2:G66)</f>
        <v>2406.5076923076922</v>
      </c>
      <c r="H67">
        <f>AVERAGE(G64:G66,G3:G5)</f>
        <v>1594</v>
      </c>
    </row>
    <row r="68" spans="1:19" x14ac:dyDescent="0.25">
      <c r="A68" t="s">
        <v>0</v>
      </c>
      <c r="G68">
        <f>G67-16</f>
        <v>2390.5076923076922</v>
      </c>
    </row>
    <row r="69" spans="1:19" x14ac:dyDescent="0.25">
      <c r="A69" t="s">
        <v>0</v>
      </c>
    </row>
    <row r="70" spans="1:19" x14ac:dyDescent="0.25">
      <c r="A70" t="s">
        <v>0</v>
      </c>
    </row>
    <row r="71" spans="1:19" x14ac:dyDescent="0.25">
      <c r="A71" t="s">
        <v>0</v>
      </c>
    </row>
    <row r="72" spans="1:19" x14ac:dyDescent="0.25">
      <c r="A72" t="s">
        <v>0</v>
      </c>
    </row>
    <row r="73" spans="1:19" x14ac:dyDescent="0.25">
      <c r="A73" t="s">
        <v>0</v>
      </c>
    </row>
    <row r="74" spans="1:19" x14ac:dyDescent="0.25">
      <c r="A74" t="s">
        <v>0</v>
      </c>
    </row>
    <row r="75" spans="1:19" x14ac:dyDescent="0.25">
      <c r="A75" t="s">
        <v>0</v>
      </c>
    </row>
    <row r="76" spans="1:19" x14ac:dyDescent="0.25">
      <c r="A76" t="s">
        <v>0</v>
      </c>
    </row>
    <row r="77" spans="1:19" x14ac:dyDescent="0.25">
      <c r="A77" t="s">
        <v>0</v>
      </c>
    </row>
    <row r="78" spans="1:19" x14ac:dyDescent="0.25">
      <c r="A78" t="s">
        <v>0</v>
      </c>
    </row>
    <row r="79" spans="1:19" x14ac:dyDescent="0.25">
      <c r="A79" t="s">
        <v>0</v>
      </c>
    </row>
    <row r="80" spans="1:19" x14ac:dyDescent="0.25">
      <c r="A80" t="s">
        <v>0</v>
      </c>
    </row>
    <row r="81" spans="1:1" x14ac:dyDescent="0.25">
      <c r="A81" t="s">
        <v>0</v>
      </c>
    </row>
    <row r="82" spans="1:1" x14ac:dyDescent="0.25">
      <c r="A82" t="s">
        <v>0</v>
      </c>
    </row>
    <row r="83" spans="1:1" x14ac:dyDescent="0.25">
      <c r="A83" t="s">
        <v>0</v>
      </c>
    </row>
    <row r="84" spans="1:1" x14ac:dyDescent="0.25">
      <c r="A84" t="s">
        <v>0</v>
      </c>
    </row>
    <row r="85" spans="1:1" x14ac:dyDescent="0.25">
      <c r="A85" t="s">
        <v>0</v>
      </c>
    </row>
    <row r="86" spans="1:1" x14ac:dyDescent="0.25">
      <c r="A86" t="s">
        <v>0</v>
      </c>
    </row>
    <row r="87" spans="1:1" x14ac:dyDescent="0.25">
      <c r="A87" t="s">
        <v>0</v>
      </c>
    </row>
    <row r="88" spans="1:1" x14ac:dyDescent="0.25">
      <c r="A88" t="s">
        <v>0</v>
      </c>
    </row>
    <row r="89" spans="1:1" x14ac:dyDescent="0.25">
      <c r="A89" t="s">
        <v>0</v>
      </c>
    </row>
    <row r="90" spans="1:1" x14ac:dyDescent="0.25">
      <c r="A90" t="s">
        <v>0</v>
      </c>
    </row>
    <row r="91" spans="1:1" x14ac:dyDescent="0.25">
      <c r="A91" t="s">
        <v>0</v>
      </c>
    </row>
    <row r="92" spans="1:1" x14ac:dyDescent="0.25">
      <c r="A92" t="s">
        <v>0</v>
      </c>
    </row>
    <row r="93" spans="1:1" x14ac:dyDescent="0.25">
      <c r="A93" t="s">
        <v>0</v>
      </c>
    </row>
    <row r="94" spans="1:1" x14ac:dyDescent="0.25">
      <c r="A94" t="s">
        <v>0</v>
      </c>
    </row>
    <row r="95" spans="1:1" x14ac:dyDescent="0.25">
      <c r="A95" t="s">
        <v>0</v>
      </c>
    </row>
    <row r="96" spans="1:1" x14ac:dyDescent="0.25">
      <c r="A96" t="s">
        <v>0</v>
      </c>
    </row>
    <row r="97" spans="1:1" x14ac:dyDescent="0.25">
      <c r="A97" t="s">
        <v>0</v>
      </c>
    </row>
    <row r="98" spans="1:1" x14ac:dyDescent="0.25">
      <c r="A98" t="s">
        <v>0</v>
      </c>
    </row>
    <row r="99" spans="1:1" x14ac:dyDescent="0.25">
      <c r="A99" t="s">
        <v>0</v>
      </c>
    </row>
    <row r="100" spans="1:1" x14ac:dyDescent="0.25">
      <c r="A100" t="s">
        <v>0</v>
      </c>
    </row>
    <row r="101" spans="1:1" x14ac:dyDescent="0.25">
      <c r="A101" t="s">
        <v>0</v>
      </c>
    </row>
    <row r="102" spans="1:1" x14ac:dyDescent="0.25">
      <c r="A102" t="s">
        <v>0</v>
      </c>
    </row>
    <row r="103" spans="1:1" x14ac:dyDescent="0.25">
      <c r="A103" t="s">
        <v>0</v>
      </c>
    </row>
    <row r="104" spans="1:1" x14ac:dyDescent="0.25">
      <c r="A104" t="s">
        <v>0</v>
      </c>
    </row>
    <row r="105" spans="1:1" x14ac:dyDescent="0.25">
      <c r="A105" t="s">
        <v>0</v>
      </c>
    </row>
    <row r="106" spans="1:1" x14ac:dyDescent="0.25">
      <c r="A106" t="s">
        <v>0</v>
      </c>
    </row>
    <row r="107" spans="1:1" x14ac:dyDescent="0.25">
      <c r="A107" t="s">
        <v>0</v>
      </c>
    </row>
    <row r="108" spans="1:1" x14ac:dyDescent="0.25">
      <c r="A108" t="s">
        <v>0</v>
      </c>
    </row>
    <row r="109" spans="1:1" x14ac:dyDescent="0.25">
      <c r="A109" t="s">
        <v>0</v>
      </c>
    </row>
    <row r="110" spans="1:1" x14ac:dyDescent="0.25">
      <c r="A110" t="s">
        <v>0</v>
      </c>
    </row>
    <row r="111" spans="1:1" x14ac:dyDescent="0.25">
      <c r="A111" t="s">
        <v>0</v>
      </c>
    </row>
    <row r="112" spans="1:1" x14ac:dyDescent="0.25">
      <c r="A112" t="s">
        <v>0</v>
      </c>
    </row>
    <row r="113" spans="1:1" x14ac:dyDescent="0.25">
      <c r="A113" t="s">
        <v>0</v>
      </c>
    </row>
    <row r="114" spans="1:1" x14ac:dyDescent="0.25">
      <c r="A114" t="s">
        <v>0</v>
      </c>
    </row>
    <row r="115" spans="1:1" x14ac:dyDescent="0.25">
      <c r="A115" t="s">
        <v>0</v>
      </c>
    </row>
    <row r="116" spans="1:1" x14ac:dyDescent="0.25">
      <c r="A116" t="s">
        <v>0</v>
      </c>
    </row>
    <row r="117" spans="1:1" x14ac:dyDescent="0.25">
      <c r="A117" t="s">
        <v>0</v>
      </c>
    </row>
    <row r="118" spans="1:1" x14ac:dyDescent="0.25">
      <c r="A118" t="s">
        <v>0</v>
      </c>
    </row>
    <row r="119" spans="1:1" x14ac:dyDescent="0.25">
      <c r="A119" t="s">
        <v>0</v>
      </c>
    </row>
    <row r="120" spans="1:1" x14ac:dyDescent="0.25">
      <c r="A120" t="s">
        <v>0</v>
      </c>
    </row>
    <row r="121" spans="1:1" x14ac:dyDescent="0.25">
      <c r="A121" t="s">
        <v>0</v>
      </c>
    </row>
    <row r="122" spans="1:1" x14ac:dyDescent="0.25">
      <c r="A122" t="s">
        <v>0</v>
      </c>
    </row>
    <row r="123" spans="1:1" x14ac:dyDescent="0.25">
      <c r="A123" t="s">
        <v>0</v>
      </c>
    </row>
    <row r="124" spans="1:1" x14ac:dyDescent="0.25">
      <c r="A124" t="s">
        <v>0</v>
      </c>
    </row>
    <row r="125" spans="1:1" x14ac:dyDescent="0.25">
      <c r="A125" t="s">
        <v>0</v>
      </c>
    </row>
    <row r="126" spans="1:1" x14ac:dyDescent="0.25">
      <c r="A126" t="s">
        <v>0</v>
      </c>
    </row>
    <row r="127" spans="1:1" x14ac:dyDescent="0.25">
      <c r="A127" t="s">
        <v>0</v>
      </c>
    </row>
    <row r="128" spans="1:1" x14ac:dyDescent="0.25">
      <c r="A128" t="s">
        <v>0</v>
      </c>
    </row>
    <row r="129" spans="1:1" x14ac:dyDescent="0.25">
      <c r="A129" t="s">
        <v>0</v>
      </c>
    </row>
    <row r="130" spans="1:1" x14ac:dyDescent="0.25">
      <c r="A130" t="s">
        <v>0</v>
      </c>
    </row>
    <row r="131" spans="1:1" x14ac:dyDescent="0.25">
      <c r="A131" t="s">
        <v>0</v>
      </c>
    </row>
    <row r="132" spans="1:1" x14ac:dyDescent="0.25">
      <c r="A132" t="s">
        <v>0</v>
      </c>
    </row>
    <row r="133" spans="1:1" x14ac:dyDescent="0.25">
      <c r="A133" t="s">
        <v>0</v>
      </c>
    </row>
    <row r="134" spans="1:1" x14ac:dyDescent="0.25">
      <c r="A134" t="s">
        <v>0</v>
      </c>
    </row>
    <row r="135" spans="1:1" x14ac:dyDescent="0.25">
      <c r="A135" t="s">
        <v>0</v>
      </c>
    </row>
    <row r="136" spans="1:1" x14ac:dyDescent="0.25">
      <c r="A136" t="s">
        <v>0</v>
      </c>
    </row>
    <row r="137" spans="1:1" x14ac:dyDescent="0.25">
      <c r="A137" t="s">
        <v>0</v>
      </c>
    </row>
    <row r="138" spans="1:1" x14ac:dyDescent="0.25">
      <c r="A138" t="s">
        <v>0</v>
      </c>
    </row>
    <row r="139" spans="1:1" x14ac:dyDescent="0.25">
      <c r="A139" t="s">
        <v>0</v>
      </c>
    </row>
    <row r="140" spans="1:1" x14ac:dyDescent="0.25">
      <c r="A140" t="s">
        <v>0</v>
      </c>
    </row>
    <row r="141" spans="1:1" x14ac:dyDescent="0.25">
      <c r="A141" t="s">
        <v>0</v>
      </c>
    </row>
    <row r="142" spans="1:1" x14ac:dyDescent="0.25">
      <c r="A142" t="s">
        <v>0</v>
      </c>
    </row>
    <row r="143" spans="1:1" x14ac:dyDescent="0.25">
      <c r="A143" t="s">
        <v>0</v>
      </c>
    </row>
    <row r="144" spans="1:1" x14ac:dyDescent="0.25">
      <c r="A144" t="s">
        <v>0</v>
      </c>
    </row>
    <row r="145" spans="1:1" x14ac:dyDescent="0.25">
      <c r="A145" t="s">
        <v>0</v>
      </c>
    </row>
    <row r="146" spans="1:1" x14ac:dyDescent="0.25">
      <c r="A146" t="s">
        <v>0</v>
      </c>
    </row>
    <row r="147" spans="1:1" x14ac:dyDescent="0.25">
      <c r="A147" t="s">
        <v>0</v>
      </c>
    </row>
    <row r="148" spans="1:1" x14ac:dyDescent="0.25">
      <c r="A148" t="s">
        <v>0</v>
      </c>
    </row>
    <row r="149" spans="1:1" x14ac:dyDescent="0.25">
      <c r="A149" t="s">
        <v>0</v>
      </c>
    </row>
    <row r="150" spans="1:1" x14ac:dyDescent="0.25">
      <c r="A150" t="s">
        <v>0</v>
      </c>
    </row>
    <row r="151" spans="1:1" x14ac:dyDescent="0.25">
      <c r="A151" t="s">
        <v>0</v>
      </c>
    </row>
    <row r="152" spans="1:1" x14ac:dyDescent="0.25">
      <c r="A152" t="s">
        <v>0</v>
      </c>
    </row>
    <row r="153" spans="1:1" x14ac:dyDescent="0.25">
      <c r="A153" t="s">
        <v>0</v>
      </c>
    </row>
    <row r="154" spans="1:1" x14ac:dyDescent="0.25">
      <c r="A154" t="s">
        <v>0</v>
      </c>
    </row>
    <row r="155" spans="1:1" x14ac:dyDescent="0.25">
      <c r="A155" t="s">
        <v>0</v>
      </c>
    </row>
    <row r="156" spans="1:1" x14ac:dyDescent="0.25">
      <c r="A156" t="s">
        <v>0</v>
      </c>
    </row>
    <row r="157" spans="1:1" x14ac:dyDescent="0.25">
      <c r="A157" t="s">
        <v>0</v>
      </c>
    </row>
    <row r="158" spans="1:1" x14ac:dyDescent="0.25">
      <c r="A158" t="s">
        <v>0</v>
      </c>
    </row>
    <row r="159" spans="1:1" x14ac:dyDescent="0.25">
      <c r="A159" t="s">
        <v>0</v>
      </c>
    </row>
    <row r="160" spans="1:1" x14ac:dyDescent="0.25">
      <c r="A160" t="s">
        <v>0</v>
      </c>
    </row>
    <row r="161" spans="1:1" x14ac:dyDescent="0.25">
      <c r="A161" t="s">
        <v>0</v>
      </c>
    </row>
    <row r="162" spans="1:1" x14ac:dyDescent="0.25">
      <c r="A162" t="s">
        <v>0</v>
      </c>
    </row>
    <row r="163" spans="1:1" x14ac:dyDescent="0.25">
      <c r="A163" t="s">
        <v>0</v>
      </c>
    </row>
    <row r="164" spans="1:1" x14ac:dyDescent="0.25">
      <c r="A164" t="s">
        <v>0</v>
      </c>
    </row>
    <row r="165" spans="1:1" x14ac:dyDescent="0.25">
      <c r="A165" t="s">
        <v>0</v>
      </c>
    </row>
    <row r="166" spans="1:1" x14ac:dyDescent="0.25">
      <c r="A166" t="s">
        <v>0</v>
      </c>
    </row>
    <row r="167" spans="1:1" x14ac:dyDescent="0.25">
      <c r="A167" t="s">
        <v>0</v>
      </c>
    </row>
    <row r="168" spans="1:1" x14ac:dyDescent="0.25">
      <c r="A168" t="s">
        <v>0</v>
      </c>
    </row>
    <row r="169" spans="1:1" x14ac:dyDescent="0.25">
      <c r="A169" t="s">
        <v>0</v>
      </c>
    </row>
    <row r="170" spans="1:1" x14ac:dyDescent="0.25">
      <c r="A170" t="s">
        <v>0</v>
      </c>
    </row>
    <row r="171" spans="1:1" x14ac:dyDescent="0.25">
      <c r="A171" t="s">
        <v>0</v>
      </c>
    </row>
    <row r="172" spans="1:1" x14ac:dyDescent="0.25">
      <c r="A172" t="s">
        <v>0</v>
      </c>
    </row>
    <row r="173" spans="1:1" x14ac:dyDescent="0.25">
      <c r="A173" t="s">
        <v>0</v>
      </c>
    </row>
    <row r="174" spans="1:1" x14ac:dyDescent="0.25">
      <c r="A174" t="s">
        <v>0</v>
      </c>
    </row>
    <row r="175" spans="1:1" x14ac:dyDescent="0.25">
      <c r="A175" t="s">
        <v>0</v>
      </c>
    </row>
    <row r="176" spans="1:1" x14ac:dyDescent="0.25">
      <c r="A176" t="s">
        <v>0</v>
      </c>
    </row>
    <row r="177" spans="1:1" x14ac:dyDescent="0.25">
      <c r="A177" t="s">
        <v>0</v>
      </c>
    </row>
    <row r="178" spans="1:1" x14ac:dyDescent="0.25">
      <c r="A178" t="s">
        <v>0</v>
      </c>
    </row>
    <row r="179" spans="1:1" x14ac:dyDescent="0.25">
      <c r="A179" t="s">
        <v>0</v>
      </c>
    </row>
    <row r="180" spans="1:1" x14ac:dyDescent="0.25">
      <c r="A180" t="s">
        <v>0</v>
      </c>
    </row>
    <row r="181" spans="1:1" x14ac:dyDescent="0.25">
      <c r="A181" t="s">
        <v>0</v>
      </c>
    </row>
    <row r="182" spans="1:1" x14ac:dyDescent="0.25">
      <c r="A182" t="s">
        <v>0</v>
      </c>
    </row>
    <row r="183" spans="1:1" x14ac:dyDescent="0.25">
      <c r="A183" t="s">
        <v>0</v>
      </c>
    </row>
    <row r="184" spans="1:1" x14ac:dyDescent="0.25">
      <c r="A184" t="s">
        <v>0</v>
      </c>
    </row>
    <row r="185" spans="1:1" x14ac:dyDescent="0.25">
      <c r="A185" t="s">
        <v>0</v>
      </c>
    </row>
    <row r="186" spans="1:1" x14ac:dyDescent="0.25">
      <c r="A186" t="s">
        <v>0</v>
      </c>
    </row>
    <row r="187" spans="1:1" x14ac:dyDescent="0.25">
      <c r="A187" t="s">
        <v>0</v>
      </c>
    </row>
    <row r="188" spans="1:1" x14ac:dyDescent="0.25">
      <c r="A188" t="s">
        <v>0</v>
      </c>
    </row>
    <row r="189" spans="1:1" x14ac:dyDescent="0.25">
      <c r="A189" t="s">
        <v>0</v>
      </c>
    </row>
    <row r="190" spans="1:1" x14ac:dyDescent="0.25">
      <c r="A190" t="s">
        <v>0</v>
      </c>
    </row>
    <row r="191" spans="1:1" x14ac:dyDescent="0.25">
      <c r="A191" t="s">
        <v>0</v>
      </c>
    </row>
    <row r="192" spans="1:1" x14ac:dyDescent="0.25">
      <c r="A192" t="s">
        <v>0</v>
      </c>
    </row>
    <row r="193" spans="1:1" x14ac:dyDescent="0.25">
      <c r="A193" t="s">
        <v>0</v>
      </c>
    </row>
    <row r="194" spans="1:1" x14ac:dyDescent="0.25">
      <c r="A194" t="s">
        <v>0</v>
      </c>
    </row>
    <row r="195" spans="1:1" x14ac:dyDescent="0.25">
      <c r="A195" t="s">
        <v>0</v>
      </c>
    </row>
    <row r="196" spans="1:1" x14ac:dyDescent="0.25">
      <c r="A196" t="s">
        <v>0</v>
      </c>
    </row>
    <row r="197" spans="1:1" x14ac:dyDescent="0.25">
      <c r="A197" t="s">
        <v>0</v>
      </c>
    </row>
    <row r="198" spans="1:1" x14ac:dyDescent="0.25">
      <c r="A198" t="s">
        <v>0</v>
      </c>
    </row>
    <row r="199" spans="1:1" x14ac:dyDescent="0.25">
      <c r="A199" t="s">
        <v>0</v>
      </c>
    </row>
    <row r="200" spans="1:1" x14ac:dyDescent="0.25">
      <c r="A200" t="s">
        <v>0</v>
      </c>
    </row>
    <row r="201" spans="1:1" x14ac:dyDescent="0.25">
      <c r="A201" t="s">
        <v>0</v>
      </c>
    </row>
    <row r="202" spans="1:1" x14ac:dyDescent="0.25">
      <c r="A202" t="s">
        <v>0</v>
      </c>
    </row>
    <row r="203" spans="1:1" x14ac:dyDescent="0.25">
      <c r="A203" t="s">
        <v>0</v>
      </c>
    </row>
    <row r="204" spans="1:1" x14ac:dyDescent="0.25">
      <c r="A204" t="s">
        <v>0</v>
      </c>
    </row>
    <row r="205" spans="1:1" x14ac:dyDescent="0.25">
      <c r="A205" t="s">
        <v>0</v>
      </c>
    </row>
    <row r="206" spans="1:1" x14ac:dyDescent="0.25">
      <c r="A206" t="s">
        <v>0</v>
      </c>
    </row>
    <row r="207" spans="1:1" x14ac:dyDescent="0.25">
      <c r="A207" t="s">
        <v>0</v>
      </c>
    </row>
    <row r="208" spans="1:1" x14ac:dyDescent="0.25">
      <c r="A208" t="s">
        <v>0</v>
      </c>
    </row>
    <row r="209" spans="1:1" x14ac:dyDescent="0.25">
      <c r="A209" t="s">
        <v>0</v>
      </c>
    </row>
    <row r="210" spans="1:1" x14ac:dyDescent="0.25">
      <c r="A210" t="s">
        <v>0</v>
      </c>
    </row>
    <row r="211" spans="1:1" x14ac:dyDescent="0.25">
      <c r="A211" t="s">
        <v>0</v>
      </c>
    </row>
    <row r="212" spans="1:1" x14ac:dyDescent="0.25">
      <c r="A212" t="s">
        <v>0</v>
      </c>
    </row>
    <row r="213" spans="1:1" x14ac:dyDescent="0.25">
      <c r="A213" t="s">
        <v>0</v>
      </c>
    </row>
    <row r="214" spans="1:1" x14ac:dyDescent="0.25">
      <c r="A214" t="s">
        <v>0</v>
      </c>
    </row>
    <row r="215" spans="1:1" x14ac:dyDescent="0.25">
      <c r="A215" t="s">
        <v>0</v>
      </c>
    </row>
    <row r="216" spans="1:1" x14ac:dyDescent="0.25">
      <c r="A216" t="s">
        <v>0</v>
      </c>
    </row>
    <row r="217" spans="1:1" x14ac:dyDescent="0.25">
      <c r="A217" t="s">
        <v>0</v>
      </c>
    </row>
    <row r="218" spans="1:1" x14ac:dyDescent="0.25">
      <c r="A218" t="s">
        <v>0</v>
      </c>
    </row>
    <row r="219" spans="1:1" x14ac:dyDescent="0.25">
      <c r="A219" t="s">
        <v>0</v>
      </c>
    </row>
    <row r="220" spans="1:1" x14ac:dyDescent="0.25">
      <c r="A220" t="s">
        <v>0</v>
      </c>
    </row>
    <row r="221" spans="1:1" x14ac:dyDescent="0.25">
      <c r="A221" t="s">
        <v>0</v>
      </c>
    </row>
    <row r="222" spans="1:1" x14ac:dyDescent="0.25">
      <c r="A222" t="s">
        <v>0</v>
      </c>
    </row>
    <row r="223" spans="1:1" x14ac:dyDescent="0.25">
      <c r="A223" t="s">
        <v>0</v>
      </c>
    </row>
    <row r="224" spans="1:1" x14ac:dyDescent="0.25">
      <c r="A224" t="s">
        <v>0</v>
      </c>
    </row>
    <row r="225" spans="1:1" x14ac:dyDescent="0.25">
      <c r="A225" t="s">
        <v>0</v>
      </c>
    </row>
    <row r="226" spans="1:1" x14ac:dyDescent="0.25">
      <c r="A226" t="s">
        <v>0</v>
      </c>
    </row>
    <row r="227" spans="1:1" x14ac:dyDescent="0.25">
      <c r="A227" t="s">
        <v>0</v>
      </c>
    </row>
    <row r="228" spans="1:1" x14ac:dyDescent="0.25">
      <c r="A228" t="s">
        <v>0</v>
      </c>
    </row>
    <row r="229" spans="1:1" x14ac:dyDescent="0.25">
      <c r="A229" t="s">
        <v>0</v>
      </c>
    </row>
    <row r="230" spans="1:1" x14ac:dyDescent="0.25">
      <c r="A230" t="s">
        <v>0</v>
      </c>
    </row>
    <row r="231" spans="1:1" x14ac:dyDescent="0.25">
      <c r="A231" t="s">
        <v>0</v>
      </c>
    </row>
    <row r="232" spans="1:1" x14ac:dyDescent="0.25">
      <c r="A232" t="s">
        <v>0</v>
      </c>
    </row>
    <row r="233" spans="1:1" x14ac:dyDescent="0.25">
      <c r="A233" t="s">
        <v>0</v>
      </c>
    </row>
    <row r="234" spans="1:1" x14ac:dyDescent="0.25">
      <c r="A234" t="s">
        <v>0</v>
      </c>
    </row>
    <row r="235" spans="1:1" x14ac:dyDescent="0.25">
      <c r="A235" t="s">
        <v>0</v>
      </c>
    </row>
    <row r="236" spans="1:1" x14ac:dyDescent="0.25">
      <c r="A236" t="s">
        <v>0</v>
      </c>
    </row>
    <row r="237" spans="1:1" x14ac:dyDescent="0.25">
      <c r="A237" t="s">
        <v>0</v>
      </c>
    </row>
    <row r="238" spans="1:1" x14ac:dyDescent="0.25">
      <c r="A238" t="s">
        <v>0</v>
      </c>
    </row>
    <row r="239" spans="1:1" x14ac:dyDescent="0.25">
      <c r="A239" t="s">
        <v>0</v>
      </c>
    </row>
    <row r="240" spans="1:1" x14ac:dyDescent="0.25">
      <c r="A240" t="s">
        <v>0</v>
      </c>
    </row>
    <row r="241" spans="1:1" x14ac:dyDescent="0.25">
      <c r="A241" t="s">
        <v>0</v>
      </c>
    </row>
    <row r="242" spans="1:1" x14ac:dyDescent="0.25">
      <c r="A242" t="s">
        <v>0</v>
      </c>
    </row>
    <row r="243" spans="1:1" x14ac:dyDescent="0.25">
      <c r="A243" t="s">
        <v>0</v>
      </c>
    </row>
    <row r="244" spans="1:1" x14ac:dyDescent="0.25">
      <c r="A244" t="s">
        <v>0</v>
      </c>
    </row>
    <row r="245" spans="1:1" x14ac:dyDescent="0.25">
      <c r="A245" t="s">
        <v>0</v>
      </c>
    </row>
    <row r="246" spans="1:1" x14ac:dyDescent="0.25">
      <c r="A246" t="s">
        <v>0</v>
      </c>
    </row>
    <row r="247" spans="1:1" x14ac:dyDescent="0.25">
      <c r="A247" t="s">
        <v>0</v>
      </c>
    </row>
    <row r="248" spans="1:1" x14ac:dyDescent="0.25">
      <c r="A248" t="s">
        <v>0</v>
      </c>
    </row>
    <row r="249" spans="1:1" x14ac:dyDescent="0.25">
      <c r="A249" t="s">
        <v>0</v>
      </c>
    </row>
    <row r="250" spans="1:1" x14ac:dyDescent="0.25">
      <c r="A250" t="s">
        <v>0</v>
      </c>
    </row>
    <row r="251" spans="1:1" x14ac:dyDescent="0.25">
      <c r="A251" t="s">
        <v>0</v>
      </c>
    </row>
    <row r="252" spans="1:1" x14ac:dyDescent="0.25">
      <c r="A252" t="s">
        <v>0</v>
      </c>
    </row>
    <row r="253" spans="1:1" x14ac:dyDescent="0.25">
      <c r="A253" t="s">
        <v>0</v>
      </c>
    </row>
    <row r="254" spans="1:1" x14ac:dyDescent="0.25">
      <c r="A254" t="s">
        <v>0</v>
      </c>
    </row>
    <row r="255" spans="1:1" x14ac:dyDescent="0.25">
      <c r="A255" t="s">
        <v>0</v>
      </c>
    </row>
    <row r="256" spans="1:1" x14ac:dyDescent="0.25">
      <c r="A256" t="s">
        <v>0</v>
      </c>
    </row>
    <row r="257" spans="1:1" x14ac:dyDescent="0.25">
      <c r="A257" t="s">
        <v>0</v>
      </c>
    </row>
    <row r="258" spans="1:1" x14ac:dyDescent="0.25">
      <c r="A258" t="s">
        <v>0</v>
      </c>
    </row>
    <row r="259" spans="1:1" x14ac:dyDescent="0.25">
      <c r="A259" t="s">
        <v>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42DA5-55A2-42B9-961C-BBA486F5BC58}">
  <sheetPr codeName="Sheet4"/>
  <dimension ref="A1:F67"/>
  <sheetViews>
    <sheetView topLeftCell="A25" workbookViewId="0">
      <selection activeCell="Q19" sqref="Q19"/>
    </sheetView>
  </sheetViews>
  <sheetFormatPr defaultRowHeight="15" x14ac:dyDescent="0.25"/>
  <cols>
    <col min="1" max="1" width="5.85546875" bestFit="1" customWidth="1"/>
    <col min="2" max="3" width="12.28515625" bestFit="1" customWidth="1"/>
    <col min="4" max="4" width="10.28515625" bestFit="1" customWidth="1"/>
    <col min="6" max="6" width="6.28515625" bestFit="1" customWidth="1"/>
    <col min="8" max="8" width="12.28515625" bestFit="1" customWidth="1"/>
    <col min="11" max="11" width="10.28515625" bestFit="1" customWidth="1"/>
    <col min="21" max="22" width="12.28515625" bestFit="1" customWidth="1"/>
    <col min="23" max="23" width="10.28515625" bestFit="1" customWidth="1"/>
  </cols>
  <sheetData>
    <row r="1" spans="1:6" x14ac:dyDescent="0.25">
      <c r="A1" t="s">
        <v>219</v>
      </c>
      <c r="B1" t="s">
        <v>792</v>
      </c>
      <c r="C1" t="s">
        <v>663</v>
      </c>
      <c r="D1" t="s">
        <v>793</v>
      </c>
      <c r="E1" t="s">
        <v>11</v>
      </c>
      <c r="F1" t="s">
        <v>665</v>
      </c>
    </row>
    <row r="2" spans="1:6" x14ac:dyDescent="0.25">
      <c r="A2" t="s">
        <v>794</v>
      </c>
      <c r="B2" t="s">
        <v>795</v>
      </c>
      <c r="C2" t="s">
        <v>796</v>
      </c>
      <c r="D2" t="s">
        <v>796</v>
      </c>
      <c r="E2">
        <v>23</v>
      </c>
      <c r="F2">
        <v>443</v>
      </c>
    </row>
    <row r="3" spans="1:6" x14ac:dyDescent="0.25">
      <c r="A3">
        <v>0</v>
      </c>
      <c r="B3">
        <v>0</v>
      </c>
      <c r="C3">
        <v>0</v>
      </c>
      <c r="D3" s="3">
        <v>0</v>
      </c>
      <c r="E3">
        <v>0</v>
      </c>
      <c r="F3">
        <v>0</v>
      </c>
    </row>
    <row r="4" spans="1:6" x14ac:dyDescent="0.25">
      <c r="A4">
        <v>1</v>
      </c>
      <c r="B4" t="s">
        <v>662</v>
      </c>
      <c r="C4" t="s">
        <v>664</v>
      </c>
      <c r="D4" s="2">
        <v>1.7855999999999999</v>
      </c>
      <c r="E4">
        <v>0</v>
      </c>
      <c r="F4">
        <v>34</v>
      </c>
    </row>
    <row r="5" spans="1:6" x14ac:dyDescent="0.25">
      <c r="A5">
        <v>2</v>
      </c>
      <c r="B5" t="s">
        <v>666</v>
      </c>
      <c r="C5" t="s">
        <v>667</v>
      </c>
      <c r="D5" s="2">
        <v>2.7071999999999998</v>
      </c>
      <c r="E5">
        <v>1</v>
      </c>
      <c r="F5">
        <v>52</v>
      </c>
    </row>
    <row r="6" spans="1:6" x14ac:dyDescent="0.25">
      <c r="A6">
        <v>3</v>
      </c>
      <c r="B6" t="s">
        <v>668</v>
      </c>
      <c r="C6" t="s">
        <v>669</v>
      </c>
      <c r="D6" s="2">
        <v>3.9359999999999999</v>
      </c>
      <c r="E6">
        <v>2</v>
      </c>
      <c r="F6">
        <v>74</v>
      </c>
    </row>
    <row r="7" spans="1:6" x14ac:dyDescent="0.25">
      <c r="A7">
        <v>4</v>
      </c>
      <c r="B7" t="s">
        <v>670</v>
      </c>
      <c r="C7" t="s">
        <v>671</v>
      </c>
      <c r="D7" s="2">
        <v>3.7824</v>
      </c>
      <c r="E7">
        <v>2</v>
      </c>
      <c r="F7">
        <v>72</v>
      </c>
    </row>
    <row r="8" spans="1:6" x14ac:dyDescent="0.25">
      <c r="A8">
        <v>5</v>
      </c>
      <c r="B8" t="s">
        <v>672</v>
      </c>
      <c r="C8" t="s">
        <v>673</v>
      </c>
      <c r="D8" s="2">
        <v>5.7279999999999998</v>
      </c>
      <c r="E8">
        <v>4</v>
      </c>
      <c r="F8">
        <v>109</v>
      </c>
    </row>
    <row r="9" spans="1:6" x14ac:dyDescent="0.25">
      <c r="A9">
        <v>6</v>
      </c>
      <c r="B9" t="s">
        <v>674</v>
      </c>
      <c r="C9" t="s">
        <v>675</v>
      </c>
      <c r="D9" s="2">
        <v>14.124799999999999</v>
      </c>
      <c r="E9">
        <v>13</v>
      </c>
      <c r="F9">
        <v>268</v>
      </c>
    </row>
    <row r="10" spans="1:6" x14ac:dyDescent="0.25">
      <c r="A10">
        <v>7</v>
      </c>
      <c r="B10" t="s">
        <v>676</v>
      </c>
      <c r="C10" t="s">
        <v>677</v>
      </c>
      <c r="D10" s="2">
        <v>7.4176000000000002</v>
      </c>
      <c r="E10">
        <v>6</v>
      </c>
      <c r="F10">
        <v>140</v>
      </c>
    </row>
    <row r="11" spans="1:6" x14ac:dyDescent="0.25">
      <c r="A11">
        <v>8</v>
      </c>
      <c r="B11" t="s">
        <v>678</v>
      </c>
      <c r="C11" t="s">
        <v>679</v>
      </c>
      <c r="D11" s="2">
        <v>14.944000000000001</v>
      </c>
      <c r="E11">
        <v>14</v>
      </c>
      <c r="F11">
        <v>283</v>
      </c>
    </row>
    <row r="12" spans="1:6" x14ac:dyDescent="0.25">
      <c r="A12">
        <v>9</v>
      </c>
      <c r="B12" t="s">
        <v>680</v>
      </c>
      <c r="C12" t="s">
        <v>681</v>
      </c>
      <c r="D12" s="2">
        <v>9.2607999999999997</v>
      </c>
      <c r="E12">
        <v>8</v>
      </c>
      <c r="F12">
        <v>175</v>
      </c>
    </row>
    <row r="13" spans="1:6" x14ac:dyDescent="0.25">
      <c r="A13">
        <v>10</v>
      </c>
      <c r="B13" t="s">
        <v>682</v>
      </c>
      <c r="C13" t="s">
        <v>683</v>
      </c>
      <c r="D13" s="2">
        <v>10.028799999999999</v>
      </c>
      <c r="E13">
        <v>9</v>
      </c>
      <c r="F13">
        <v>190</v>
      </c>
    </row>
    <row r="14" spans="1:6" x14ac:dyDescent="0.25">
      <c r="A14">
        <v>11</v>
      </c>
      <c r="B14" t="s">
        <v>684</v>
      </c>
      <c r="C14" t="s">
        <v>685</v>
      </c>
      <c r="D14" s="2">
        <v>11.616</v>
      </c>
      <c r="E14">
        <v>10</v>
      </c>
      <c r="F14">
        <v>220</v>
      </c>
    </row>
    <row r="15" spans="1:6" x14ac:dyDescent="0.25">
      <c r="A15">
        <v>12</v>
      </c>
      <c r="B15" t="s">
        <v>686</v>
      </c>
      <c r="C15" t="s">
        <v>687</v>
      </c>
      <c r="D15" s="2">
        <v>12.4352</v>
      </c>
      <c r="E15">
        <v>11</v>
      </c>
      <c r="F15">
        <v>236</v>
      </c>
    </row>
    <row r="16" spans="1:6" x14ac:dyDescent="0.25">
      <c r="A16">
        <v>13</v>
      </c>
      <c r="B16" t="s">
        <v>688</v>
      </c>
      <c r="C16" t="s">
        <v>689</v>
      </c>
      <c r="D16" s="2">
        <v>12.4864</v>
      </c>
      <c r="E16">
        <v>11</v>
      </c>
      <c r="F16">
        <v>237</v>
      </c>
    </row>
    <row r="17" spans="1:6" x14ac:dyDescent="0.25">
      <c r="A17">
        <v>14</v>
      </c>
      <c r="B17" t="s">
        <v>690</v>
      </c>
      <c r="C17" t="s">
        <v>691</v>
      </c>
      <c r="D17" s="2">
        <v>14.073600000000001</v>
      </c>
      <c r="E17">
        <v>13</v>
      </c>
      <c r="F17">
        <v>266</v>
      </c>
    </row>
    <row r="18" spans="1:6" x14ac:dyDescent="0.25">
      <c r="A18">
        <v>15</v>
      </c>
      <c r="B18" t="s">
        <v>692</v>
      </c>
      <c r="C18" t="s">
        <v>693</v>
      </c>
      <c r="D18" s="2">
        <v>15.1488</v>
      </c>
      <c r="E18">
        <v>14</v>
      </c>
      <c r="F18">
        <v>287</v>
      </c>
    </row>
    <row r="19" spans="1:6" x14ac:dyDescent="0.25">
      <c r="A19">
        <v>16</v>
      </c>
      <c r="B19" t="s">
        <v>694</v>
      </c>
      <c r="C19" t="s">
        <v>695</v>
      </c>
      <c r="D19" s="2">
        <v>14.995200000000001</v>
      </c>
      <c r="E19">
        <v>14</v>
      </c>
      <c r="F19">
        <v>284</v>
      </c>
    </row>
    <row r="20" spans="1:6" x14ac:dyDescent="0.25">
      <c r="A20">
        <v>17</v>
      </c>
      <c r="B20" t="s">
        <v>696</v>
      </c>
      <c r="C20" t="s">
        <v>697</v>
      </c>
      <c r="D20" s="2">
        <v>17.1968</v>
      </c>
      <c r="E20">
        <v>16</v>
      </c>
      <c r="F20">
        <v>325</v>
      </c>
    </row>
    <row r="21" spans="1:6" x14ac:dyDescent="0.25">
      <c r="A21">
        <v>18</v>
      </c>
      <c r="B21" t="s">
        <v>698</v>
      </c>
      <c r="C21" t="s">
        <v>699</v>
      </c>
      <c r="D21" s="2">
        <v>17.4528</v>
      </c>
      <c r="E21">
        <v>16</v>
      </c>
      <c r="F21">
        <v>330</v>
      </c>
    </row>
    <row r="22" spans="1:6" x14ac:dyDescent="0.25">
      <c r="A22">
        <v>19</v>
      </c>
      <c r="B22" t="s">
        <v>700</v>
      </c>
      <c r="C22" t="s">
        <v>701</v>
      </c>
      <c r="D22" s="2">
        <v>26.412800000000001</v>
      </c>
      <c r="E22">
        <v>26</v>
      </c>
      <c r="F22">
        <v>500</v>
      </c>
    </row>
    <row r="23" spans="1:6" x14ac:dyDescent="0.25">
      <c r="A23">
        <v>20</v>
      </c>
      <c r="B23" t="s">
        <v>702</v>
      </c>
      <c r="C23" t="s">
        <v>703</v>
      </c>
      <c r="D23" s="2">
        <v>18.015999999999998</v>
      </c>
      <c r="E23">
        <v>17</v>
      </c>
      <c r="F23">
        <v>342</v>
      </c>
    </row>
    <row r="24" spans="1:6" x14ac:dyDescent="0.25">
      <c r="A24">
        <v>21</v>
      </c>
      <c r="B24" t="s">
        <v>704</v>
      </c>
      <c r="C24" t="s">
        <v>705</v>
      </c>
      <c r="D24" s="2">
        <v>28.051200000000001</v>
      </c>
      <c r="E24">
        <v>28</v>
      </c>
      <c r="F24">
        <v>531</v>
      </c>
    </row>
    <row r="25" spans="1:6" x14ac:dyDescent="0.25">
      <c r="A25">
        <v>22</v>
      </c>
      <c r="B25" t="s">
        <v>706</v>
      </c>
      <c r="C25" t="s">
        <v>707</v>
      </c>
      <c r="D25" s="2">
        <v>19.295999999999999</v>
      </c>
      <c r="E25">
        <v>19</v>
      </c>
      <c r="F25">
        <v>365</v>
      </c>
    </row>
    <row r="26" spans="1:6" x14ac:dyDescent="0.25">
      <c r="A26">
        <v>23</v>
      </c>
      <c r="B26" t="s">
        <v>708</v>
      </c>
      <c r="C26" t="s">
        <v>709</v>
      </c>
      <c r="D26" s="2">
        <v>23.187200000000001</v>
      </c>
      <c r="E26">
        <v>22</v>
      </c>
      <c r="F26">
        <v>439</v>
      </c>
    </row>
    <row r="27" spans="1:6" x14ac:dyDescent="0.25">
      <c r="A27">
        <v>24</v>
      </c>
      <c r="B27" t="s">
        <v>710</v>
      </c>
      <c r="C27" t="s">
        <v>711</v>
      </c>
      <c r="D27" s="2">
        <v>23.5456</v>
      </c>
      <c r="E27">
        <v>23</v>
      </c>
      <c r="F27">
        <v>446</v>
      </c>
    </row>
    <row r="28" spans="1:6" x14ac:dyDescent="0.25">
      <c r="A28">
        <v>25</v>
      </c>
      <c r="B28" t="s">
        <v>712</v>
      </c>
      <c r="C28" t="s">
        <v>713</v>
      </c>
      <c r="D28" s="2">
        <v>30.918400000000002</v>
      </c>
      <c r="E28">
        <v>31</v>
      </c>
      <c r="F28">
        <v>585</v>
      </c>
    </row>
    <row r="29" spans="1:6" x14ac:dyDescent="0.25">
      <c r="A29">
        <v>26</v>
      </c>
      <c r="B29" t="s">
        <v>714</v>
      </c>
      <c r="C29" t="s">
        <v>715</v>
      </c>
      <c r="D29" s="2">
        <v>31.84</v>
      </c>
      <c r="E29">
        <v>31</v>
      </c>
      <c r="F29">
        <v>603</v>
      </c>
    </row>
    <row r="30" spans="1:6" x14ac:dyDescent="0.25">
      <c r="A30">
        <v>27</v>
      </c>
      <c r="B30" t="s">
        <v>716</v>
      </c>
      <c r="C30" t="s">
        <v>717</v>
      </c>
      <c r="D30" s="2">
        <v>27.027200000000001</v>
      </c>
      <c r="E30">
        <v>26</v>
      </c>
      <c r="F30">
        <v>511</v>
      </c>
    </row>
    <row r="31" spans="1:6" x14ac:dyDescent="0.25">
      <c r="A31">
        <v>28</v>
      </c>
      <c r="B31" t="s">
        <v>718</v>
      </c>
      <c r="C31" t="s">
        <v>719</v>
      </c>
      <c r="D31" s="2">
        <v>26.1568</v>
      </c>
      <c r="E31">
        <v>26</v>
      </c>
      <c r="F31">
        <v>495</v>
      </c>
    </row>
    <row r="32" spans="1:6" x14ac:dyDescent="0.25">
      <c r="A32">
        <v>29</v>
      </c>
      <c r="B32" t="s">
        <v>720</v>
      </c>
      <c r="C32" t="s">
        <v>721</v>
      </c>
      <c r="D32" s="2">
        <v>28.153599999999997</v>
      </c>
      <c r="E32">
        <v>28</v>
      </c>
      <c r="F32">
        <v>533</v>
      </c>
    </row>
    <row r="33" spans="1:6" x14ac:dyDescent="0.25">
      <c r="A33">
        <v>30</v>
      </c>
      <c r="B33" t="s">
        <v>722</v>
      </c>
      <c r="C33" t="s">
        <v>723</v>
      </c>
      <c r="D33" s="2">
        <v>35.475199999999994</v>
      </c>
      <c r="E33">
        <v>36</v>
      </c>
      <c r="F33">
        <v>672</v>
      </c>
    </row>
    <row r="34" spans="1:6" x14ac:dyDescent="0.25">
      <c r="A34">
        <v>31</v>
      </c>
      <c r="B34" t="s">
        <v>724</v>
      </c>
      <c r="C34" t="s">
        <v>725</v>
      </c>
      <c r="D34" s="2">
        <v>37.574400000000004</v>
      </c>
      <c r="E34">
        <v>37</v>
      </c>
      <c r="F34">
        <v>712</v>
      </c>
    </row>
    <row r="35" spans="1:6" x14ac:dyDescent="0.25">
      <c r="A35">
        <v>32</v>
      </c>
      <c r="B35" t="s">
        <v>726</v>
      </c>
      <c r="C35" t="s">
        <v>727</v>
      </c>
      <c r="D35" s="2">
        <v>30.150400000000001</v>
      </c>
      <c r="E35">
        <v>30</v>
      </c>
      <c r="F35">
        <v>571</v>
      </c>
    </row>
    <row r="36" spans="1:6" x14ac:dyDescent="0.25">
      <c r="A36">
        <v>33</v>
      </c>
      <c r="B36" t="s">
        <v>728</v>
      </c>
      <c r="C36" t="s">
        <v>729</v>
      </c>
      <c r="D36" s="2">
        <v>31.584</v>
      </c>
      <c r="E36">
        <v>31</v>
      </c>
      <c r="F36">
        <v>598</v>
      </c>
    </row>
    <row r="37" spans="1:6" x14ac:dyDescent="0.25">
      <c r="A37">
        <v>34</v>
      </c>
      <c r="B37" t="s">
        <v>730</v>
      </c>
      <c r="C37" t="s">
        <v>731</v>
      </c>
      <c r="D37" s="2">
        <v>32.351999999999997</v>
      </c>
      <c r="E37">
        <v>33</v>
      </c>
      <c r="F37">
        <v>613</v>
      </c>
    </row>
    <row r="38" spans="1:6" x14ac:dyDescent="0.25">
      <c r="A38">
        <v>35</v>
      </c>
      <c r="B38" t="s">
        <v>732</v>
      </c>
      <c r="C38" t="s">
        <v>733</v>
      </c>
      <c r="D38" s="2">
        <v>39.6736</v>
      </c>
      <c r="E38">
        <v>40</v>
      </c>
      <c r="F38">
        <v>752</v>
      </c>
    </row>
    <row r="39" spans="1:6" x14ac:dyDescent="0.25">
      <c r="A39">
        <v>36</v>
      </c>
      <c r="B39" t="s">
        <v>734</v>
      </c>
      <c r="C39" t="s">
        <v>735</v>
      </c>
      <c r="D39" s="2">
        <v>32.044800000000002</v>
      </c>
      <c r="E39">
        <v>32</v>
      </c>
      <c r="F39">
        <v>607</v>
      </c>
    </row>
    <row r="40" spans="1:6" x14ac:dyDescent="0.25">
      <c r="A40">
        <v>37</v>
      </c>
      <c r="B40" t="s">
        <v>736</v>
      </c>
      <c r="C40" t="s">
        <v>737</v>
      </c>
      <c r="D40" s="2">
        <v>43.923199999999994</v>
      </c>
      <c r="E40">
        <v>44</v>
      </c>
      <c r="F40">
        <v>832</v>
      </c>
    </row>
    <row r="41" spans="1:6" x14ac:dyDescent="0.25">
      <c r="A41">
        <v>38</v>
      </c>
      <c r="B41" t="s">
        <v>738</v>
      </c>
      <c r="C41" t="s">
        <v>739</v>
      </c>
      <c r="D41" s="2">
        <v>43.001599999999996</v>
      </c>
      <c r="E41">
        <v>44</v>
      </c>
      <c r="F41">
        <v>814</v>
      </c>
    </row>
    <row r="42" spans="1:6" x14ac:dyDescent="0.25">
      <c r="A42">
        <v>39</v>
      </c>
      <c r="B42" t="s">
        <v>740</v>
      </c>
      <c r="C42" t="s">
        <v>741</v>
      </c>
      <c r="D42" s="2">
        <v>36.550400000000003</v>
      </c>
      <c r="E42">
        <v>37</v>
      </c>
      <c r="F42">
        <v>692</v>
      </c>
    </row>
    <row r="43" spans="1:6" x14ac:dyDescent="0.25">
      <c r="A43">
        <v>40</v>
      </c>
      <c r="B43" t="s">
        <v>742</v>
      </c>
      <c r="C43" t="s">
        <v>743</v>
      </c>
      <c r="D43" s="2">
        <v>46.688000000000002</v>
      </c>
      <c r="E43">
        <v>47</v>
      </c>
      <c r="F43">
        <v>884</v>
      </c>
    </row>
    <row r="44" spans="1:6" x14ac:dyDescent="0.25">
      <c r="A44">
        <v>41</v>
      </c>
      <c r="B44" t="s">
        <v>744</v>
      </c>
      <c r="C44" t="s">
        <v>745</v>
      </c>
      <c r="D44" s="2">
        <v>47.558399999999999</v>
      </c>
      <c r="E44">
        <v>48</v>
      </c>
      <c r="F44">
        <v>901</v>
      </c>
    </row>
    <row r="45" spans="1:6" x14ac:dyDescent="0.25">
      <c r="A45">
        <v>42</v>
      </c>
      <c r="B45" t="s">
        <v>746</v>
      </c>
      <c r="C45" t="s">
        <v>747</v>
      </c>
      <c r="D45" s="2">
        <v>40.134399999999999</v>
      </c>
      <c r="E45">
        <v>40</v>
      </c>
      <c r="F45">
        <v>761</v>
      </c>
    </row>
    <row r="46" spans="1:6" x14ac:dyDescent="0.25">
      <c r="A46">
        <v>43</v>
      </c>
      <c r="B46" t="s">
        <v>748</v>
      </c>
      <c r="C46" t="s">
        <v>749</v>
      </c>
      <c r="D46" s="2">
        <v>39.878399999999999</v>
      </c>
      <c r="E46">
        <v>40</v>
      </c>
      <c r="F46">
        <v>756</v>
      </c>
    </row>
    <row r="47" spans="1:6" x14ac:dyDescent="0.25">
      <c r="A47">
        <v>44</v>
      </c>
      <c r="B47" t="s">
        <v>750</v>
      </c>
      <c r="C47" t="s">
        <v>751</v>
      </c>
      <c r="D47" s="2">
        <v>49.043199999999999</v>
      </c>
      <c r="E47">
        <v>51</v>
      </c>
      <c r="F47">
        <v>929</v>
      </c>
    </row>
    <row r="48" spans="1:6" x14ac:dyDescent="0.25">
      <c r="A48">
        <v>45</v>
      </c>
      <c r="B48" t="s">
        <v>752</v>
      </c>
      <c r="C48" t="s">
        <v>753</v>
      </c>
      <c r="D48" s="2">
        <v>42.438400000000001</v>
      </c>
      <c r="E48">
        <v>42</v>
      </c>
      <c r="F48">
        <v>804</v>
      </c>
    </row>
    <row r="49" spans="1:6" x14ac:dyDescent="0.25">
      <c r="A49">
        <v>46</v>
      </c>
      <c r="B49" t="s">
        <v>754</v>
      </c>
      <c r="C49" t="s">
        <v>755</v>
      </c>
      <c r="D49" s="2">
        <v>50.630400000000002</v>
      </c>
      <c r="E49">
        <v>51</v>
      </c>
      <c r="F49">
        <v>959</v>
      </c>
    </row>
    <row r="50" spans="1:6" x14ac:dyDescent="0.25">
      <c r="A50">
        <v>47</v>
      </c>
      <c r="B50" t="s">
        <v>756</v>
      </c>
      <c r="C50" t="s">
        <v>757</v>
      </c>
      <c r="D50" s="2">
        <v>45.152000000000001</v>
      </c>
      <c r="E50">
        <v>45</v>
      </c>
      <c r="F50">
        <v>855</v>
      </c>
    </row>
    <row r="51" spans="1:6" x14ac:dyDescent="0.25">
      <c r="A51">
        <v>48</v>
      </c>
      <c r="B51" t="s">
        <v>758</v>
      </c>
      <c r="C51" t="s">
        <v>759</v>
      </c>
      <c r="D51" s="2">
        <v>58.924800000000005</v>
      </c>
      <c r="E51">
        <v>61</v>
      </c>
      <c r="F51">
        <v>1116</v>
      </c>
    </row>
    <row r="52" spans="1:6" x14ac:dyDescent="0.25">
      <c r="A52">
        <v>49</v>
      </c>
      <c r="B52" t="s">
        <v>760</v>
      </c>
      <c r="C52" t="s">
        <v>761</v>
      </c>
      <c r="D52" s="2">
        <v>45.6128</v>
      </c>
      <c r="E52">
        <v>45</v>
      </c>
      <c r="F52">
        <v>864</v>
      </c>
    </row>
    <row r="53" spans="1:6" x14ac:dyDescent="0.25">
      <c r="A53">
        <v>50</v>
      </c>
      <c r="B53" t="s">
        <v>762</v>
      </c>
      <c r="C53" t="s">
        <v>763</v>
      </c>
      <c r="D53" s="2">
        <v>71.263999999999996</v>
      </c>
      <c r="E53">
        <v>72</v>
      </c>
      <c r="F53">
        <v>1350</v>
      </c>
    </row>
    <row r="54" spans="1:6" x14ac:dyDescent="0.25">
      <c r="A54">
        <v>51</v>
      </c>
      <c r="B54" t="s">
        <v>764</v>
      </c>
      <c r="C54" t="s">
        <v>765</v>
      </c>
      <c r="D54" s="2">
        <v>53.753599999999999</v>
      </c>
      <c r="E54">
        <v>55</v>
      </c>
      <c r="F54">
        <v>1018</v>
      </c>
    </row>
    <row r="55" spans="1:6" x14ac:dyDescent="0.25">
      <c r="A55">
        <v>52</v>
      </c>
      <c r="B55" t="s">
        <v>766</v>
      </c>
      <c r="C55" t="s">
        <v>767</v>
      </c>
      <c r="D55" s="2">
        <v>62.508800000000001</v>
      </c>
      <c r="E55">
        <v>64</v>
      </c>
      <c r="F55">
        <v>1184</v>
      </c>
    </row>
    <row r="56" spans="1:6" x14ac:dyDescent="0.25">
      <c r="A56">
        <v>53</v>
      </c>
      <c r="B56" t="s">
        <v>768</v>
      </c>
      <c r="C56" t="s">
        <v>769</v>
      </c>
      <c r="D56" s="2">
        <v>58.207999999999998</v>
      </c>
      <c r="E56">
        <v>60</v>
      </c>
      <c r="F56">
        <v>1102</v>
      </c>
    </row>
    <row r="57" spans="1:6" x14ac:dyDescent="0.25">
      <c r="A57">
        <v>54</v>
      </c>
      <c r="B57" t="s">
        <v>770</v>
      </c>
      <c r="C57" t="s">
        <v>771</v>
      </c>
      <c r="D57" s="2">
        <v>64.352000000000004</v>
      </c>
      <c r="E57">
        <v>66</v>
      </c>
      <c r="F57">
        <v>1219</v>
      </c>
    </row>
    <row r="58" spans="1:6" x14ac:dyDescent="0.25">
      <c r="A58">
        <v>55</v>
      </c>
      <c r="B58" t="s">
        <v>772</v>
      </c>
      <c r="C58" t="s">
        <v>773</v>
      </c>
      <c r="D58" s="2">
        <v>73.209600000000009</v>
      </c>
      <c r="E58">
        <v>75</v>
      </c>
      <c r="F58">
        <v>1386</v>
      </c>
    </row>
    <row r="59" spans="1:6" x14ac:dyDescent="0.25">
      <c r="A59">
        <v>56</v>
      </c>
      <c r="B59" t="s">
        <v>774</v>
      </c>
      <c r="C59" t="s">
        <v>775</v>
      </c>
      <c r="D59" s="2">
        <v>76.691199999999995</v>
      </c>
      <c r="E59">
        <v>79</v>
      </c>
      <c r="F59">
        <v>1453</v>
      </c>
    </row>
    <row r="60" spans="1:6" x14ac:dyDescent="0.25">
      <c r="A60">
        <v>57</v>
      </c>
      <c r="B60" t="s">
        <v>776</v>
      </c>
      <c r="C60" t="s">
        <v>777</v>
      </c>
      <c r="D60" s="2">
        <v>53.753599999999999</v>
      </c>
      <c r="E60">
        <v>55</v>
      </c>
      <c r="F60">
        <v>1018</v>
      </c>
    </row>
    <row r="61" spans="1:6" x14ac:dyDescent="0.25">
      <c r="A61">
        <v>58</v>
      </c>
      <c r="B61" t="s">
        <v>778</v>
      </c>
      <c r="C61" t="s">
        <v>779</v>
      </c>
      <c r="D61" s="2">
        <v>63.942399999999999</v>
      </c>
      <c r="E61">
        <v>64</v>
      </c>
      <c r="F61">
        <v>1211</v>
      </c>
    </row>
    <row r="62" spans="1:6" x14ac:dyDescent="0.25">
      <c r="A62">
        <v>59</v>
      </c>
      <c r="B62" t="s">
        <v>780</v>
      </c>
      <c r="C62" t="s">
        <v>781</v>
      </c>
      <c r="D62" s="2">
        <v>69.4208</v>
      </c>
      <c r="E62">
        <v>71</v>
      </c>
      <c r="F62">
        <v>1315</v>
      </c>
    </row>
    <row r="63" spans="1:6" x14ac:dyDescent="0.25">
      <c r="A63">
        <v>60</v>
      </c>
      <c r="B63" t="s">
        <v>782</v>
      </c>
      <c r="C63" t="s">
        <v>783</v>
      </c>
      <c r="D63" s="2">
        <v>57.388800000000003</v>
      </c>
      <c r="E63">
        <v>59</v>
      </c>
      <c r="F63">
        <v>1087</v>
      </c>
    </row>
    <row r="64" spans="1:6" x14ac:dyDescent="0.25">
      <c r="A64">
        <v>61</v>
      </c>
      <c r="B64" t="s">
        <v>784</v>
      </c>
      <c r="C64" t="s">
        <v>785</v>
      </c>
      <c r="D64" s="2">
        <v>56.7744</v>
      </c>
      <c r="E64">
        <v>58</v>
      </c>
      <c r="F64">
        <v>1075</v>
      </c>
    </row>
    <row r="65" spans="1:6" x14ac:dyDescent="0.25">
      <c r="A65">
        <v>62</v>
      </c>
      <c r="B65" t="s">
        <v>786</v>
      </c>
      <c r="C65" t="s">
        <v>787</v>
      </c>
      <c r="D65" s="2">
        <v>70.239999999999995</v>
      </c>
      <c r="E65">
        <v>73</v>
      </c>
      <c r="F65">
        <v>1331</v>
      </c>
    </row>
    <row r="66" spans="1:6" x14ac:dyDescent="0.25">
      <c r="A66">
        <v>63</v>
      </c>
      <c r="B66" t="s">
        <v>788</v>
      </c>
      <c r="C66" t="s">
        <v>789</v>
      </c>
      <c r="D66" s="2">
        <v>57.44</v>
      </c>
      <c r="E66">
        <v>59</v>
      </c>
      <c r="F66">
        <v>1088</v>
      </c>
    </row>
    <row r="67" spans="1:6" x14ac:dyDescent="0.25">
      <c r="A67">
        <v>64</v>
      </c>
      <c r="B67" t="s">
        <v>790</v>
      </c>
      <c r="C67" t="s">
        <v>791</v>
      </c>
      <c r="D67" s="2">
        <v>72.441600000000008</v>
      </c>
      <c r="E67">
        <v>74</v>
      </c>
      <c r="F67">
        <v>1372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CA7A5-48CC-4194-A0F2-5E8E3D149192}">
  <dimension ref="A1:Y66"/>
  <sheetViews>
    <sheetView zoomScale="70" zoomScaleNormal="70" workbookViewId="0">
      <selection activeCell="U52" sqref="U52"/>
    </sheetView>
  </sheetViews>
  <sheetFormatPr defaultRowHeight="15" x14ac:dyDescent="0.25"/>
  <cols>
    <col min="1" max="1" width="5.85546875" bestFit="1" customWidth="1"/>
    <col min="2" max="3" width="11.28515625" bestFit="1" customWidth="1"/>
    <col min="4" max="4" width="9.28515625" bestFit="1" customWidth="1"/>
    <col min="5" max="5" width="4.42578125" bestFit="1" customWidth="1"/>
    <col min="9" max="9" width="11.140625" customWidth="1"/>
    <col min="10" max="10" width="11.7109375" customWidth="1"/>
  </cols>
  <sheetData>
    <row r="1" spans="1:25" x14ac:dyDescent="0.25">
      <c r="A1" t="s">
        <v>219</v>
      </c>
      <c r="B1" t="s">
        <v>792</v>
      </c>
      <c r="C1" t="s">
        <v>663</v>
      </c>
      <c r="D1" t="s">
        <v>793</v>
      </c>
      <c r="E1" t="s">
        <v>11</v>
      </c>
      <c r="F1" t="s">
        <v>665</v>
      </c>
      <c r="H1" t="s">
        <v>219</v>
      </c>
      <c r="I1" t="s">
        <v>792</v>
      </c>
      <c r="J1" t="s">
        <v>663</v>
      </c>
      <c r="K1" t="s">
        <v>845</v>
      </c>
      <c r="L1" t="s">
        <v>11</v>
      </c>
      <c r="M1" t="s">
        <v>665</v>
      </c>
      <c r="R1" t="s">
        <v>219</v>
      </c>
      <c r="S1" t="s">
        <v>845</v>
      </c>
      <c r="U1" t="s">
        <v>219</v>
      </c>
      <c r="V1" t="s">
        <v>845</v>
      </c>
      <c r="X1" t="s">
        <v>14</v>
      </c>
      <c r="Y1" t="s">
        <v>210</v>
      </c>
    </row>
    <row r="2" spans="1:25" x14ac:dyDescent="0.25">
      <c r="A2" t="s">
        <v>794</v>
      </c>
      <c r="B2" t="s">
        <v>795</v>
      </c>
      <c r="C2" t="s">
        <v>798</v>
      </c>
      <c r="D2" t="s">
        <v>798</v>
      </c>
      <c r="E2">
        <v>0</v>
      </c>
      <c r="F2">
        <v>45</v>
      </c>
      <c r="G2" t="str">
        <f>LEFT(D2,LEN(D2)-2)</f>
        <v>2905.60</v>
      </c>
      <c r="H2">
        <v>0</v>
      </c>
      <c r="I2" t="s">
        <v>795</v>
      </c>
      <c r="J2" t="s">
        <v>798</v>
      </c>
      <c r="K2" s="2">
        <v>2.9055999999999997</v>
      </c>
      <c r="L2">
        <v>0</v>
      </c>
      <c r="M2">
        <v>45</v>
      </c>
      <c r="R2">
        <v>0</v>
      </c>
      <c r="S2" s="2">
        <v>0</v>
      </c>
      <c r="U2">
        <v>0</v>
      </c>
      <c r="V2" s="3">
        <v>0</v>
      </c>
      <c r="X2">
        <v>0</v>
      </c>
      <c r="Y2">
        <v>0</v>
      </c>
    </row>
    <row r="3" spans="1:25" x14ac:dyDescent="0.25">
      <c r="A3">
        <v>3</v>
      </c>
      <c r="B3" t="s">
        <v>799</v>
      </c>
      <c r="C3" t="s">
        <v>800</v>
      </c>
      <c r="D3" t="s">
        <v>801</v>
      </c>
      <c r="E3">
        <v>0</v>
      </c>
      <c r="F3">
        <v>33</v>
      </c>
      <c r="G3" t="str">
        <f t="shared" ref="G3:G66" si="0">LEFT(D3,LEN(D3)-2)</f>
        <v>1785.60</v>
      </c>
      <c r="H3">
        <v>1</v>
      </c>
      <c r="K3">
        <v>0</v>
      </c>
      <c r="M3">
        <v>0</v>
      </c>
      <c r="R3">
        <v>1</v>
      </c>
      <c r="S3">
        <v>0</v>
      </c>
      <c r="U3">
        <v>1</v>
      </c>
      <c r="V3" s="2">
        <v>1.7855999999999999</v>
      </c>
      <c r="X3">
        <v>1</v>
      </c>
      <c r="Y3" s="2">
        <v>8.3903999999999996</v>
      </c>
    </row>
    <row r="4" spans="1:25" x14ac:dyDescent="0.25">
      <c r="A4">
        <v>7</v>
      </c>
      <c r="B4" t="s">
        <v>802</v>
      </c>
      <c r="C4" t="s">
        <v>803</v>
      </c>
      <c r="D4" t="s">
        <v>73</v>
      </c>
      <c r="E4">
        <v>0</v>
      </c>
      <c r="F4">
        <v>35</v>
      </c>
      <c r="G4" t="str">
        <f t="shared" si="0"/>
        <v>1836.80</v>
      </c>
      <c r="H4">
        <v>2</v>
      </c>
      <c r="K4">
        <v>0</v>
      </c>
      <c r="M4">
        <v>0</v>
      </c>
      <c r="R4">
        <v>2</v>
      </c>
      <c r="S4">
        <v>0</v>
      </c>
      <c r="U4">
        <v>2</v>
      </c>
      <c r="V4" s="2">
        <v>2.7071999999999998</v>
      </c>
      <c r="X4">
        <v>2</v>
      </c>
      <c r="Y4" s="2">
        <v>9.4143999999999988</v>
      </c>
    </row>
    <row r="5" spans="1:25" x14ac:dyDescent="0.25">
      <c r="A5">
        <v>8</v>
      </c>
      <c r="B5" t="s">
        <v>804</v>
      </c>
      <c r="C5" t="s">
        <v>805</v>
      </c>
      <c r="D5" t="s">
        <v>73</v>
      </c>
      <c r="E5">
        <v>0</v>
      </c>
      <c r="F5">
        <v>35</v>
      </c>
      <c r="G5" t="str">
        <f t="shared" si="0"/>
        <v>1836.80</v>
      </c>
      <c r="H5">
        <v>3</v>
      </c>
      <c r="I5" t="s">
        <v>799</v>
      </c>
      <c r="J5" t="s">
        <v>800</v>
      </c>
      <c r="K5" s="2">
        <v>1.7855999999999999</v>
      </c>
      <c r="L5">
        <v>0</v>
      </c>
      <c r="M5">
        <v>33</v>
      </c>
      <c r="R5">
        <v>3</v>
      </c>
      <c r="S5" s="2">
        <v>1.7855999999999999</v>
      </c>
      <c r="U5">
        <v>3</v>
      </c>
      <c r="V5" s="2">
        <v>3.9359999999999999</v>
      </c>
      <c r="X5">
        <v>3</v>
      </c>
      <c r="Y5" s="2">
        <v>11.0016</v>
      </c>
    </row>
    <row r="6" spans="1:25" x14ac:dyDescent="0.25">
      <c r="A6">
        <v>10</v>
      </c>
      <c r="B6" t="s">
        <v>806</v>
      </c>
      <c r="C6" t="s">
        <v>807</v>
      </c>
      <c r="D6" t="s">
        <v>801</v>
      </c>
      <c r="E6">
        <v>0</v>
      </c>
      <c r="F6">
        <v>33</v>
      </c>
      <c r="G6" t="str">
        <f t="shared" si="0"/>
        <v>1785.60</v>
      </c>
      <c r="H6">
        <v>4</v>
      </c>
      <c r="K6">
        <v>0</v>
      </c>
      <c r="M6">
        <v>0</v>
      </c>
      <c r="R6">
        <v>4</v>
      </c>
      <c r="S6">
        <v>0</v>
      </c>
      <c r="U6">
        <v>4</v>
      </c>
      <c r="V6" s="2">
        <v>3.7824</v>
      </c>
      <c r="X6">
        <v>4</v>
      </c>
      <c r="Y6" s="2">
        <v>9.2096</v>
      </c>
    </row>
    <row r="7" spans="1:25" x14ac:dyDescent="0.25">
      <c r="A7">
        <v>10</v>
      </c>
      <c r="B7" t="s">
        <v>808</v>
      </c>
      <c r="C7" t="s">
        <v>809</v>
      </c>
      <c r="D7" t="s">
        <v>801</v>
      </c>
      <c r="E7">
        <v>0</v>
      </c>
      <c r="F7">
        <v>34</v>
      </c>
      <c r="G7" t="str">
        <f t="shared" si="0"/>
        <v>1785.60</v>
      </c>
      <c r="H7">
        <v>5</v>
      </c>
      <c r="K7">
        <v>0</v>
      </c>
      <c r="M7">
        <v>0</v>
      </c>
      <c r="R7">
        <v>5</v>
      </c>
      <c r="S7">
        <v>0</v>
      </c>
      <c r="U7">
        <v>5</v>
      </c>
      <c r="V7" s="2">
        <v>5.7279999999999998</v>
      </c>
      <c r="X7">
        <v>5</v>
      </c>
      <c r="Y7" s="2">
        <v>25.491199999999999</v>
      </c>
    </row>
    <row r="8" spans="1:25" x14ac:dyDescent="0.25">
      <c r="A8">
        <v>20</v>
      </c>
      <c r="B8" t="s">
        <v>810</v>
      </c>
      <c r="C8" t="s">
        <v>811</v>
      </c>
      <c r="D8" t="s">
        <v>801</v>
      </c>
      <c r="E8">
        <v>0</v>
      </c>
      <c r="F8">
        <v>34</v>
      </c>
      <c r="G8" t="str">
        <f t="shared" si="0"/>
        <v>1785.60</v>
      </c>
      <c r="H8">
        <v>6</v>
      </c>
      <c r="K8">
        <v>0</v>
      </c>
      <c r="M8">
        <v>0</v>
      </c>
      <c r="R8">
        <v>-5</v>
      </c>
      <c r="S8">
        <v>0</v>
      </c>
      <c r="U8">
        <v>-5</v>
      </c>
      <c r="V8" s="2">
        <v>57.388800000000003</v>
      </c>
      <c r="X8">
        <v>-5</v>
      </c>
      <c r="Y8" s="2">
        <v>231.00800000000001</v>
      </c>
    </row>
    <row r="9" spans="1:25" x14ac:dyDescent="0.25">
      <c r="A9">
        <v>20</v>
      </c>
      <c r="B9" t="s">
        <v>812</v>
      </c>
      <c r="C9" t="s">
        <v>813</v>
      </c>
      <c r="D9" t="s">
        <v>801</v>
      </c>
      <c r="E9">
        <v>0</v>
      </c>
      <c r="F9">
        <v>34</v>
      </c>
      <c r="G9" t="str">
        <f t="shared" si="0"/>
        <v>1785.60</v>
      </c>
      <c r="H9">
        <v>7</v>
      </c>
      <c r="I9" t="s">
        <v>802</v>
      </c>
      <c r="J9" t="s">
        <v>803</v>
      </c>
      <c r="K9" s="2">
        <v>1.8368</v>
      </c>
      <c r="L9">
        <v>0</v>
      </c>
      <c r="M9">
        <v>35</v>
      </c>
      <c r="R9">
        <v>-4</v>
      </c>
      <c r="S9" s="2">
        <v>1.7855999999999999</v>
      </c>
      <c r="U9">
        <v>-4</v>
      </c>
      <c r="V9" s="2">
        <v>56.7744</v>
      </c>
      <c r="X9">
        <v>-4</v>
      </c>
      <c r="Y9" s="2">
        <v>3.7311999999999999</v>
      </c>
    </row>
    <row r="10" spans="1:25" x14ac:dyDescent="0.25">
      <c r="A10">
        <v>22</v>
      </c>
      <c r="B10" t="s">
        <v>814</v>
      </c>
      <c r="C10" t="s">
        <v>815</v>
      </c>
      <c r="D10" t="s">
        <v>801</v>
      </c>
      <c r="E10">
        <v>0</v>
      </c>
      <c r="F10">
        <v>34</v>
      </c>
      <c r="G10" t="str">
        <f t="shared" si="0"/>
        <v>1785.60</v>
      </c>
      <c r="H10">
        <v>8</v>
      </c>
      <c r="I10" t="s">
        <v>804</v>
      </c>
      <c r="J10" t="s">
        <v>805</v>
      </c>
      <c r="K10" s="2">
        <v>1.8368</v>
      </c>
      <c r="L10">
        <v>0</v>
      </c>
      <c r="M10">
        <v>35</v>
      </c>
      <c r="R10">
        <v>-3</v>
      </c>
      <c r="S10">
        <v>0</v>
      </c>
      <c r="U10">
        <v>-3</v>
      </c>
      <c r="V10" s="2">
        <v>70.239999999999995</v>
      </c>
      <c r="X10">
        <v>-3</v>
      </c>
      <c r="Y10" s="2">
        <v>213.39520000000002</v>
      </c>
    </row>
    <row r="11" spans="1:25" x14ac:dyDescent="0.25">
      <c r="A11">
        <v>27</v>
      </c>
      <c r="B11" t="s">
        <v>816</v>
      </c>
      <c r="C11" t="s">
        <v>817</v>
      </c>
      <c r="D11" t="s">
        <v>73</v>
      </c>
      <c r="E11">
        <v>0</v>
      </c>
      <c r="F11">
        <v>35</v>
      </c>
      <c r="G11" t="str">
        <f t="shared" si="0"/>
        <v>1836.80</v>
      </c>
      <c r="H11">
        <v>9</v>
      </c>
      <c r="K11">
        <v>0</v>
      </c>
      <c r="M11">
        <v>0</v>
      </c>
      <c r="R11">
        <v>-2</v>
      </c>
      <c r="S11">
        <v>0</v>
      </c>
      <c r="U11">
        <v>-2</v>
      </c>
      <c r="V11" s="2">
        <v>57.44</v>
      </c>
      <c r="X11">
        <v>-2</v>
      </c>
      <c r="Y11" s="2">
        <v>8.3391999999999999</v>
      </c>
    </row>
    <row r="12" spans="1:25" x14ac:dyDescent="0.25">
      <c r="A12">
        <v>28</v>
      </c>
      <c r="B12" t="s">
        <v>818</v>
      </c>
      <c r="C12" t="s">
        <v>819</v>
      </c>
      <c r="D12" t="s">
        <v>801</v>
      </c>
      <c r="E12">
        <v>0</v>
      </c>
      <c r="F12">
        <v>33</v>
      </c>
      <c r="G12" t="str">
        <f t="shared" si="0"/>
        <v>1785.60</v>
      </c>
      <c r="H12">
        <v>10</v>
      </c>
      <c r="K12">
        <v>5.011199999999997</v>
      </c>
      <c r="M12">
        <v>0</v>
      </c>
      <c r="R12">
        <v>-1</v>
      </c>
      <c r="S12">
        <v>0</v>
      </c>
      <c r="U12">
        <v>-1</v>
      </c>
      <c r="V12" s="2">
        <v>72.441600000000008</v>
      </c>
      <c r="X12">
        <v>-1</v>
      </c>
      <c r="Y12" s="2">
        <v>254.56</v>
      </c>
    </row>
    <row r="13" spans="1:25" x14ac:dyDescent="0.25">
      <c r="A13">
        <v>31</v>
      </c>
      <c r="B13" t="s">
        <v>820</v>
      </c>
      <c r="C13" t="s">
        <v>821</v>
      </c>
      <c r="D13" t="s">
        <v>801</v>
      </c>
      <c r="E13">
        <v>0</v>
      </c>
      <c r="F13">
        <v>33</v>
      </c>
      <c r="G13" t="str">
        <f t="shared" si="0"/>
        <v>1785.60</v>
      </c>
      <c r="H13">
        <v>11</v>
      </c>
      <c r="K13">
        <v>0</v>
      </c>
      <c r="M13">
        <v>0</v>
      </c>
    </row>
    <row r="14" spans="1:25" x14ac:dyDescent="0.25">
      <c r="A14">
        <v>31</v>
      </c>
      <c r="B14" t="s">
        <v>822</v>
      </c>
      <c r="C14" t="s">
        <v>823</v>
      </c>
      <c r="D14" t="s">
        <v>73</v>
      </c>
      <c r="E14">
        <v>0</v>
      </c>
      <c r="F14">
        <v>35</v>
      </c>
      <c r="G14" t="str">
        <f t="shared" si="0"/>
        <v>1836.80</v>
      </c>
      <c r="H14">
        <v>12</v>
      </c>
      <c r="K14">
        <v>0</v>
      </c>
      <c r="M14">
        <v>0</v>
      </c>
    </row>
    <row r="15" spans="1:25" x14ac:dyDescent="0.25">
      <c r="A15">
        <v>36</v>
      </c>
      <c r="B15" t="s">
        <v>824</v>
      </c>
      <c r="C15" t="s">
        <v>825</v>
      </c>
      <c r="D15" t="s">
        <v>801</v>
      </c>
      <c r="E15">
        <v>0</v>
      </c>
      <c r="F15">
        <v>34</v>
      </c>
      <c r="G15" t="str">
        <f t="shared" si="0"/>
        <v>1785.60</v>
      </c>
      <c r="H15">
        <v>13</v>
      </c>
      <c r="K15">
        <v>0</v>
      </c>
      <c r="M15">
        <v>0</v>
      </c>
    </row>
    <row r="16" spans="1:25" x14ac:dyDescent="0.25">
      <c r="A16">
        <v>46</v>
      </c>
      <c r="B16" t="s">
        <v>826</v>
      </c>
      <c r="C16" t="s">
        <v>827</v>
      </c>
      <c r="D16" t="s">
        <v>801</v>
      </c>
      <c r="E16">
        <v>0</v>
      </c>
      <c r="F16">
        <v>34</v>
      </c>
      <c r="G16" t="str">
        <f t="shared" si="0"/>
        <v>1785.60</v>
      </c>
      <c r="H16">
        <v>14</v>
      </c>
      <c r="K16">
        <v>0</v>
      </c>
      <c r="M16">
        <v>0</v>
      </c>
    </row>
    <row r="17" spans="1:13" x14ac:dyDescent="0.25">
      <c r="A17">
        <v>48</v>
      </c>
      <c r="B17" t="s">
        <v>828</v>
      </c>
      <c r="C17" t="s">
        <v>829</v>
      </c>
      <c r="D17" t="s">
        <v>801</v>
      </c>
      <c r="E17">
        <v>0</v>
      </c>
      <c r="F17">
        <v>34</v>
      </c>
      <c r="G17" t="str">
        <f t="shared" si="0"/>
        <v>1785.60</v>
      </c>
      <c r="H17">
        <v>15</v>
      </c>
      <c r="K17">
        <v>0</v>
      </c>
      <c r="M17">
        <v>0</v>
      </c>
    </row>
    <row r="18" spans="1:13" x14ac:dyDescent="0.25">
      <c r="A18">
        <v>49</v>
      </c>
      <c r="B18" t="s">
        <v>830</v>
      </c>
      <c r="C18" t="s">
        <v>831</v>
      </c>
      <c r="D18" t="s">
        <v>73</v>
      </c>
      <c r="E18">
        <v>0</v>
      </c>
      <c r="F18">
        <v>35</v>
      </c>
      <c r="G18" t="str">
        <f t="shared" si="0"/>
        <v>1836.80</v>
      </c>
      <c r="H18">
        <v>16</v>
      </c>
      <c r="K18">
        <v>0</v>
      </c>
      <c r="M18">
        <v>0</v>
      </c>
    </row>
    <row r="19" spans="1:13" x14ac:dyDescent="0.25">
      <c r="A19">
        <v>53</v>
      </c>
      <c r="B19" t="s">
        <v>832</v>
      </c>
      <c r="C19" t="s">
        <v>833</v>
      </c>
      <c r="D19" t="s">
        <v>801</v>
      </c>
      <c r="E19">
        <v>0</v>
      </c>
      <c r="F19">
        <v>33</v>
      </c>
      <c r="G19" t="str">
        <f t="shared" si="0"/>
        <v>1785.60</v>
      </c>
      <c r="H19">
        <v>17</v>
      </c>
      <c r="K19">
        <v>0</v>
      </c>
      <c r="M19">
        <v>0</v>
      </c>
    </row>
    <row r="20" spans="1:13" x14ac:dyDescent="0.25">
      <c r="A20">
        <v>53</v>
      </c>
      <c r="B20" t="s">
        <v>834</v>
      </c>
      <c r="C20" t="s">
        <v>835</v>
      </c>
      <c r="D20" t="s">
        <v>801</v>
      </c>
      <c r="E20">
        <v>0</v>
      </c>
      <c r="F20">
        <v>34</v>
      </c>
      <c r="G20" t="str">
        <f t="shared" si="0"/>
        <v>1785.60</v>
      </c>
      <c r="H20">
        <v>18</v>
      </c>
      <c r="K20">
        <v>0</v>
      </c>
      <c r="M20">
        <v>0</v>
      </c>
    </row>
    <row r="21" spans="1:13" x14ac:dyDescent="0.25">
      <c r="A21">
        <v>54</v>
      </c>
      <c r="B21" t="s">
        <v>836</v>
      </c>
      <c r="C21" t="s">
        <v>837</v>
      </c>
      <c r="D21" t="s">
        <v>801</v>
      </c>
      <c r="E21">
        <v>0</v>
      </c>
      <c r="F21">
        <v>34</v>
      </c>
      <c r="G21" t="str">
        <f t="shared" si="0"/>
        <v>1785.60</v>
      </c>
      <c r="H21">
        <v>19</v>
      </c>
      <c r="K21">
        <v>0</v>
      </c>
      <c r="M21">
        <v>0</v>
      </c>
    </row>
    <row r="22" spans="1:13" x14ac:dyDescent="0.25">
      <c r="A22">
        <v>57</v>
      </c>
      <c r="B22" t="s">
        <v>838</v>
      </c>
      <c r="C22" t="s">
        <v>839</v>
      </c>
      <c r="D22" t="s">
        <v>840</v>
      </c>
      <c r="E22">
        <v>1</v>
      </c>
      <c r="F22">
        <v>66</v>
      </c>
      <c r="G22" t="str">
        <f t="shared" si="0"/>
        <v>3475.20</v>
      </c>
      <c r="H22">
        <v>20</v>
      </c>
      <c r="K22">
        <v>3.8336000000000059</v>
      </c>
      <c r="M22">
        <v>0</v>
      </c>
    </row>
    <row r="23" spans="1:13" x14ac:dyDescent="0.25">
      <c r="A23">
        <v>58</v>
      </c>
      <c r="B23" t="s">
        <v>841</v>
      </c>
      <c r="C23" t="s">
        <v>842</v>
      </c>
      <c r="D23" t="s">
        <v>801</v>
      </c>
      <c r="E23">
        <v>0</v>
      </c>
      <c r="F23">
        <v>34</v>
      </c>
      <c r="G23" t="str">
        <f t="shared" si="0"/>
        <v>1785.60</v>
      </c>
      <c r="H23">
        <v>21</v>
      </c>
      <c r="K23">
        <v>0</v>
      </c>
      <c r="M23">
        <v>0</v>
      </c>
    </row>
    <row r="24" spans="1:13" x14ac:dyDescent="0.25">
      <c r="A24">
        <v>61</v>
      </c>
      <c r="B24" t="s">
        <v>843</v>
      </c>
      <c r="C24" t="s">
        <v>844</v>
      </c>
      <c r="D24" t="s">
        <v>801</v>
      </c>
      <c r="E24">
        <v>0</v>
      </c>
      <c r="F24">
        <v>34</v>
      </c>
      <c r="G24" t="str">
        <f t="shared" si="0"/>
        <v>1785.60</v>
      </c>
      <c r="H24">
        <v>22</v>
      </c>
      <c r="I24" t="s">
        <v>814</v>
      </c>
      <c r="J24" t="s">
        <v>815</v>
      </c>
      <c r="K24">
        <v>1.7855999999999999</v>
      </c>
      <c r="L24">
        <v>0</v>
      </c>
      <c r="M24">
        <v>34</v>
      </c>
    </row>
    <row r="25" spans="1:13" x14ac:dyDescent="0.25">
      <c r="G25" t="e">
        <f t="shared" si="0"/>
        <v>#VALUE!</v>
      </c>
      <c r="H25">
        <v>23</v>
      </c>
      <c r="K25">
        <v>0</v>
      </c>
      <c r="M25">
        <v>0</v>
      </c>
    </row>
    <row r="26" spans="1:13" x14ac:dyDescent="0.25">
      <c r="G26" t="e">
        <f t="shared" si="0"/>
        <v>#VALUE!</v>
      </c>
      <c r="H26">
        <v>24</v>
      </c>
      <c r="K26">
        <v>0</v>
      </c>
      <c r="M26">
        <v>0</v>
      </c>
    </row>
    <row r="27" spans="1:13" x14ac:dyDescent="0.25">
      <c r="G27" t="e">
        <f t="shared" si="0"/>
        <v>#VALUE!</v>
      </c>
      <c r="H27">
        <v>25</v>
      </c>
      <c r="K27">
        <v>0</v>
      </c>
      <c r="M27">
        <v>0</v>
      </c>
    </row>
    <row r="28" spans="1:13" x14ac:dyDescent="0.25">
      <c r="G28" t="e">
        <f t="shared" si="0"/>
        <v>#VALUE!</v>
      </c>
      <c r="H28">
        <v>26</v>
      </c>
      <c r="K28">
        <v>0</v>
      </c>
      <c r="M28">
        <v>0</v>
      </c>
    </row>
    <row r="29" spans="1:13" x14ac:dyDescent="0.25">
      <c r="G29" t="e">
        <f t="shared" si="0"/>
        <v>#VALUE!</v>
      </c>
      <c r="H29">
        <v>27</v>
      </c>
      <c r="I29" t="s">
        <v>816</v>
      </c>
      <c r="J29" t="s">
        <v>817</v>
      </c>
      <c r="K29" s="2">
        <v>1.8368</v>
      </c>
      <c r="L29">
        <v>0</v>
      </c>
      <c r="M29">
        <v>35</v>
      </c>
    </row>
    <row r="30" spans="1:13" x14ac:dyDescent="0.25">
      <c r="G30" t="e">
        <f t="shared" si="0"/>
        <v>#VALUE!</v>
      </c>
      <c r="H30">
        <v>28</v>
      </c>
      <c r="I30" t="s">
        <v>818</v>
      </c>
      <c r="J30" t="s">
        <v>819</v>
      </c>
      <c r="K30" s="2">
        <v>1.7855999999999999</v>
      </c>
      <c r="L30">
        <v>0</v>
      </c>
      <c r="M30">
        <v>33</v>
      </c>
    </row>
    <row r="31" spans="1:13" x14ac:dyDescent="0.25">
      <c r="G31" t="e">
        <f t="shared" si="0"/>
        <v>#VALUE!</v>
      </c>
      <c r="H31">
        <v>29</v>
      </c>
      <c r="K31">
        <v>0</v>
      </c>
      <c r="M31">
        <v>0</v>
      </c>
    </row>
    <row r="32" spans="1:13" x14ac:dyDescent="0.25">
      <c r="G32" t="e">
        <f t="shared" si="0"/>
        <v>#VALUE!</v>
      </c>
      <c r="H32">
        <v>30</v>
      </c>
      <c r="K32">
        <v>0</v>
      </c>
      <c r="M32">
        <v>0</v>
      </c>
    </row>
    <row r="33" spans="7:13" x14ac:dyDescent="0.25">
      <c r="G33" t="e">
        <f t="shared" si="0"/>
        <v>#VALUE!</v>
      </c>
      <c r="H33">
        <v>31</v>
      </c>
      <c r="K33">
        <v>4.7551999999999968</v>
      </c>
      <c r="M33">
        <v>0</v>
      </c>
    </row>
    <row r="34" spans="7:13" x14ac:dyDescent="0.25">
      <c r="G34" t="e">
        <f t="shared" si="0"/>
        <v>#VALUE!</v>
      </c>
      <c r="H34">
        <v>32</v>
      </c>
      <c r="K34">
        <v>0</v>
      </c>
      <c r="M34">
        <v>0</v>
      </c>
    </row>
    <row r="35" spans="7:13" x14ac:dyDescent="0.25">
      <c r="G35" t="e">
        <f t="shared" si="0"/>
        <v>#VALUE!</v>
      </c>
      <c r="H35">
        <v>33</v>
      </c>
      <c r="K35">
        <v>0</v>
      </c>
      <c r="M35">
        <v>0</v>
      </c>
    </row>
    <row r="36" spans="7:13" x14ac:dyDescent="0.25">
      <c r="G36" t="e">
        <f t="shared" si="0"/>
        <v>#VALUE!</v>
      </c>
      <c r="H36">
        <v>34</v>
      </c>
      <c r="K36">
        <v>0</v>
      </c>
      <c r="M36">
        <v>0</v>
      </c>
    </row>
    <row r="37" spans="7:13" x14ac:dyDescent="0.25">
      <c r="G37" t="e">
        <f t="shared" si="0"/>
        <v>#VALUE!</v>
      </c>
      <c r="H37">
        <v>35</v>
      </c>
      <c r="K37">
        <v>0</v>
      </c>
      <c r="M37">
        <v>0</v>
      </c>
    </row>
    <row r="38" spans="7:13" x14ac:dyDescent="0.25">
      <c r="G38" t="e">
        <f t="shared" si="0"/>
        <v>#VALUE!</v>
      </c>
      <c r="H38">
        <v>36</v>
      </c>
      <c r="I38" t="s">
        <v>824</v>
      </c>
      <c r="J38" t="s">
        <v>825</v>
      </c>
      <c r="K38" s="2">
        <v>1.7855999999999999</v>
      </c>
      <c r="L38">
        <v>0</v>
      </c>
      <c r="M38">
        <v>34</v>
      </c>
    </row>
    <row r="39" spans="7:13" x14ac:dyDescent="0.25">
      <c r="G39" t="e">
        <f t="shared" si="0"/>
        <v>#VALUE!</v>
      </c>
      <c r="H39">
        <v>37</v>
      </c>
      <c r="K39">
        <v>0</v>
      </c>
      <c r="M39">
        <v>0</v>
      </c>
    </row>
    <row r="40" spans="7:13" x14ac:dyDescent="0.25">
      <c r="G40" t="e">
        <f t="shared" si="0"/>
        <v>#VALUE!</v>
      </c>
      <c r="H40">
        <v>38</v>
      </c>
      <c r="K40">
        <v>0</v>
      </c>
      <c r="M40">
        <v>0</v>
      </c>
    </row>
    <row r="41" spans="7:13" x14ac:dyDescent="0.25">
      <c r="G41" t="e">
        <f t="shared" si="0"/>
        <v>#VALUE!</v>
      </c>
      <c r="H41">
        <v>39</v>
      </c>
      <c r="K41">
        <v>0</v>
      </c>
      <c r="M41">
        <v>0</v>
      </c>
    </row>
    <row r="42" spans="7:13" x14ac:dyDescent="0.25">
      <c r="G42" t="e">
        <f t="shared" si="0"/>
        <v>#VALUE!</v>
      </c>
      <c r="H42">
        <v>40</v>
      </c>
      <c r="K42">
        <v>0</v>
      </c>
      <c r="M42">
        <v>0</v>
      </c>
    </row>
    <row r="43" spans="7:13" x14ac:dyDescent="0.25">
      <c r="G43" t="e">
        <f t="shared" si="0"/>
        <v>#VALUE!</v>
      </c>
      <c r="H43">
        <v>41</v>
      </c>
      <c r="K43">
        <v>0</v>
      </c>
      <c r="M43">
        <v>0</v>
      </c>
    </row>
    <row r="44" spans="7:13" x14ac:dyDescent="0.25">
      <c r="G44" t="e">
        <f t="shared" si="0"/>
        <v>#VALUE!</v>
      </c>
      <c r="H44">
        <v>42</v>
      </c>
      <c r="K44">
        <v>0</v>
      </c>
      <c r="M44">
        <v>0</v>
      </c>
    </row>
    <row r="45" spans="7:13" x14ac:dyDescent="0.25">
      <c r="G45" t="e">
        <f t="shared" si="0"/>
        <v>#VALUE!</v>
      </c>
      <c r="H45">
        <v>43</v>
      </c>
      <c r="K45">
        <v>0</v>
      </c>
      <c r="M45">
        <v>0</v>
      </c>
    </row>
    <row r="46" spans="7:13" x14ac:dyDescent="0.25">
      <c r="G46" t="e">
        <f t="shared" si="0"/>
        <v>#VALUE!</v>
      </c>
      <c r="H46">
        <v>44</v>
      </c>
      <c r="K46">
        <v>0</v>
      </c>
      <c r="M46">
        <v>0</v>
      </c>
    </row>
    <row r="47" spans="7:13" x14ac:dyDescent="0.25">
      <c r="G47" t="e">
        <f t="shared" si="0"/>
        <v>#VALUE!</v>
      </c>
      <c r="H47">
        <v>45</v>
      </c>
      <c r="K47">
        <v>0</v>
      </c>
      <c r="M47">
        <v>0</v>
      </c>
    </row>
    <row r="48" spans="7:13" x14ac:dyDescent="0.25">
      <c r="G48" t="e">
        <f t="shared" si="0"/>
        <v>#VALUE!</v>
      </c>
      <c r="H48">
        <v>46</v>
      </c>
      <c r="I48" t="s">
        <v>826</v>
      </c>
      <c r="J48" t="s">
        <v>827</v>
      </c>
      <c r="K48" s="2">
        <v>1.7855999999999999</v>
      </c>
      <c r="L48">
        <v>0</v>
      </c>
      <c r="M48">
        <v>34</v>
      </c>
    </row>
    <row r="49" spans="7:13" x14ac:dyDescent="0.25">
      <c r="G49" t="e">
        <f t="shared" si="0"/>
        <v>#VALUE!</v>
      </c>
      <c r="H49">
        <v>47</v>
      </c>
      <c r="K49">
        <v>0</v>
      </c>
      <c r="M49">
        <v>0</v>
      </c>
    </row>
    <row r="50" spans="7:13" x14ac:dyDescent="0.25">
      <c r="G50" t="e">
        <f t="shared" si="0"/>
        <v>#VALUE!</v>
      </c>
      <c r="H50">
        <v>48</v>
      </c>
      <c r="I50" t="s">
        <v>828</v>
      </c>
      <c r="J50" t="s">
        <v>829</v>
      </c>
      <c r="K50" s="2">
        <v>1.7855999999999999</v>
      </c>
      <c r="L50">
        <v>0</v>
      </c>
      <c r="M50">
        <v>34</v>
      </c>
    </row>
    <row r="51" spans="7:13" x14ac:dyDescent="0.25">
      <c r="G51" t="e">
        <f t="shared" si="0"/>
        <v>#VALUE!</v>
      </c>
      <c r="H51">
        <v>49</v>
      </c>
      <c r="I51" t="s">
        <v>830</v>
      </c>
      <c r="J51" t="s">
        <v>831</v>
      </c>
      <c r="K51" s="2">
        <v>1.8368</v>
      </c>
      <c r="L51">
        <v>0</v>
      </c>
      <c r="M51">
        <v>35</v>
      </c>
    </row>
    <row r="52" spans="7:13" x14ac:dyDescent="0.25">
      <c r="G52" t="e">
        <f t="shared" si="0"/>
        <v>#VALUE!</v>
      </c>
      <c r="H52">
        <v>50</v>
      </c>
      <c r="K52">
        <v>0</v>
      </c>
      <c r="M52">
        <v>0</v>
      </c>
    </row>
    <row r="53" spans="7:13" x14ac:dyDescent="0.25">
      <c r="G53" t="e">
        <f t="shared" si="0"/>
        <v>#VALUE!</v>
      </c>
      <c r="H53">
        <v>51</v>
      </c>
      <c r="K53">
        <v>0</v>
      </c>
      <c r="M53">
        <v>0</v>
      </c>
    </row>
    <row r="54" spans="7:13" x14ac:dyDescent="0.25">
      <c r="G54" t="e">
        <f t="shared" si="0"/>
        <v>#VALUE!</v>
      </c>
      <c r="H54">
        <v>52</v>
      </c>
      <c r="K54">
        <v>0</v>
      </c>
      <c r="M54">
        <v>0</v>
      </c>
    </row>
    <row r="55" spans="7:13" x14ac:dyDescent="0.25">
      <c r="G55" t="e">
        <f t="shared" si="0"/>
        <v>#VALUE!</v>
      </c>
      <c r="H55">
        <v>53</v>
      </c>
      <c r="I55" t="s">
        <v>834</v>
      </c>
      <c r="J55" t="s">
        <v>835</v>
      </c>
      <c r="K55">
        <v>5.4720000000000004</v>
      </c>
      <c r="L55">
        <v>0</v>
      </c>
      <c r="M55">
        <v>34</v>
      </c>
    </row>
    <row r="56" spans="7:13" x14ac:dyDescent="0.25">
      <c r="G56" t="e">
        <f t="shared" si="0"/>
        <v>#VALUE!</v>
      </c>
      <c r="H56">
        <v>54</v>
      </c>
      <c r="I56" t="s">
        <v>836</v>
      </c>
      <c r="J56" t="s">
        <v>837</v>
      </c>
      <c r="K56" s="2">
        <v>1.7855999999999999</v>
      </c>
      <c r="L56">
        <v>0</v>
      </c>
      <c r="M56">
        <v>34</v>
      </c>
    </row>
    <row r="57" spans="7:13" x14ac:dyDescent="0.25">
      <c r="G57" t="e">
        <f t="shared" si="0"/>
        <v>#VALUE!</v>
      </c>
      <c r="H57">
        <v>55</v>
      </c>
      <c r="K57">
        <v>0</v>
      </c>
      <c r="M57">
        <v>0</v>
      </c>
    </row>
    <row r="58" spans="7:13" x14ac:dyDescent="0.25">
      <c r="G58" t="e">
        <f t="shared" si="0"/>
        <v>#VALUE!</v>
      </c>
      <c r="H58">
        <v>56</v>
      </c>
      <c r="K58">
        <v>0</v>
      </c>
      <c r="M58">
        <v>0</v>
      </c>
    </row>
    <row r="59" spans="7:13" x14ac:dyDescent="0.25">
      <c r="G59" t="e">
        <f t="shared" si="0"/>
        <v>#VALUE!</v>
      </c>
      <c r="H59">
        <v>57</v>
      </c>
      <c r="I59" t="s">
        <v>838</v>
      </c>
      <c r="J59" t="s">
        <v>839</v>
      </c>
      <c r="K59" s="2">
        <v>3.4751999999999996</v>
      </c>
      <c r="L59">
        <v>1</v>
      </c>
      <c r="M59">
        <v>66</v>
      </c>
    </row>
    <row r="60" spans="7:13" x14ac:dyDescent="0.25">
      <c r="G60" t="e">
        <f t="shared" si="0"/>
        <v>#VALUE!</v>
      </c>
      <c r="H60">
        <v>58</v>
      </c>
      <c r="I60" t="s">
        <v>841</v>
      </c>
      <c r="J60" t="s">
        <v>842</v>
      </c>
      <c r="K60" s="2">
        <v>1.7855999999999999</v>
      </c>
      <c r="L60">
        <v>0</v>
      </c>
      <c r="M60">
        <v>34</v>
      </c>
    </row>
    <row r="61" spans="7:13" x14ac:dyDescent="0.25">
      <c r="G61" t="e">
        <f t="shared" si="0"/>
        <v>#VALUE!</v>
      </c>
      <c r="H61">
        <v>59</v>
      </c>
      <c r="K61">
        <v>0</v>
      </c>
      <c r="M61">
        <v>0</v>
      </c>
    </row>
    <row r="62" spans="7:13" x14ac:dyDescent="0.25">
      <c r="G62" t="e">
        <f t="shared" si="0"/>
        <v>#VALUE!</v>
      </c>
      <c r="H62">
        <v>60</v>
      </c>
      <c r="K62">
        <v>0</v>
      </c>
      <c r="M62">
        <v>0</v>
      </c>
    </row>
    <row r="63" spans="7:13" x14ac:dyDescent="0.25">
      <c r="G63" t="e">
        <f t="shared" si="0"/>
        <v>#VALUE!</v>
      </c>
      <c r="H63">
        <v>61</v>
      </c>
      <c r="I63" t="s">
        <v>843</v>
      </c>
      <c r="J63" t="s">
        <v>844</v>
      </c>
      <c r="K63" s="2">
        <v>1.7855999999999999</v>
      </c>
      <c r="L63">
        <v>0</v>
      </c>
      <c r="M63">
        <v>34</v>
      </c>
    </row>
    <row r="64" spans="7:13" x14ac:dyDescent="0.25">
      <c r="G64" t="e">
        <f t="shared" si="0"/>
        <v>#VALUE!</v>
      </c>
      <c r="H64">
        <v>62</v>
      </c>
      <c r="K64">
        <v>0</v>
      </c>
      <c r="M64">
        <v>0</v>
      </c>
    </row>
    <row r="65" spans="7:13" x14ac:dyDescent="0.25">
      <c r="G65" t="e">
        <f t="shared" si="0"/>
        <v>#VALUE!</v>
      </c>
      <c r="H65">
        <v>63</v>
      </c>
      <c r="K65">
        <v>0</v>
      </c>
      <c r="M65">
        <v>0</v>
      </c>
    </row>
    <row r="66" spans="7:13" x14ac:dyDescent="0.25">
      <c r="G66" t="e">
        <f t="shared" si="0"/>
        <v>#VALUE!</v>
      </c>
      <c r="H66">
        <v>64</v>
      </c>
      <c r="K66">
        <v>0</v>
      </c>
      <c r="M66">
        <v>0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BA76B-2D47-4E4F-8540-A7DBD24BDC80}">
  <dimension ref="A1:H11"/>
  <sheetViews>
    <sheetView topLeftCell="A7" zoomScale="85" zoomScaleNormal="85" workbookViewId="0">
      <selection activeCell="F11" sqref="F10:F11"/>
    </sheetView>
  </sheetViews>
  <sheetFormatPr defaultRowHeight="15" x14ac:dyDescent="0.25"/>
  <cols>
    <col min="2" max="2" width="15.28515625" customWidth="1"/>
    <col min="6" max="6" width="11" customWidth="1"/>
  </cols>
  <sheetData>
    <row r="1" spans="1:8" x14ac:dyDescent="0.25">
      <c r="B1" t="s">
        <v>846</v>
      </c>
      <c r="C1" t="s">
        <v>847</v>
      </c>
      <c r="F1" t="s">
        <v>846</v>
      </c>
      <c r="G1" t="s">
        <v>847</v>
      </c>
    </row>
    <row r="2" spans="1:8" x14ac:dyDescent="0.25">
      <c r="A2" t="s">
        <v>849</v>
      </c>
      <c r="B2">
        <v>191</v>
      </c>
      <c r="C2">
        <v>1381</v>
      </c>
      <c r="E2" t="s">
        <v>849</v>
      </c>
      <c r="F2" s="5">
        <v>1.9E-3</v>
      </c>
      <c r="G2" s="4">
        <v>1.3599999999999999E-2</v>
      </c>
    </row>
    <row r="3" spans="1:8" x14ac:dyDescent="0.25">
      <c r="A3" t="s">
        <v>848</v>
      </c>
      <c r="B3">
        <v>353</v>
      </c>
      <c r="C3">
        <v>1067</v>
      </c>
      <c r="E3" t="s">
        <v>848</v>
      </c>
      <c r="F3" s="5">
        <v>1.6999999999999999E-3</v>
      </c>
      <c r="G3" s="5">
        <v>5.3E-3</v>
      </c>
    </row>
    <row r="4" spans="1:8" x14ac:dyDescent="0.25">
      <c r="A4" t="s">
        <v>850</v>
      </c>
      <c r="B4">
        <v>0</v>
      </c>
      <c r="C4">
        <v>0</v>
      </c>
    </row>
    <row r="5" spans="1:8" x14ac:dyDescent="0.25">
      <c r="A5" t="s">
        <v>851</v>
      </c>
      <c r="B5">
        <v>0</v>
      </c>
      <c r="C5">
        <v>0</v>
      </c>
    </row>
    <row r="9" spans="1:8" x14ac:dyDescent="0.25">
      <c r="B9" t="s">
        <v>985</v>
      </c>
      <c r="C9" t="s">
        <v>983</v>
      </c>
      <c r="F9" t="s">
        <v>985</v>
      </c>
      <c r="G9" t="s">
        <v>983</v>
      </c>
    </row>
    <row r="10" spans="1:8" x14ac:dyDescent="0.25">
      <c r="A10" t="s">
        <v>849</v>
      </c>
      <c r="B10">
        <v>191</v>
      </c>
      <c r="C10">
        <v>523</v>
      </c>
      <c r="E10" t="s">
        <v>849</v>
      </c>
      <c r="F10" s="5">
        <v>1.9E-3</v>
      </c>
      <c r="G10" s="4">
        <v>7.1000000000000004E-3</v>
      </c>
      <c r="H10" s="4"/>
    </row>
    <row r="11" spans="1:8" x14ac:dyDescent="0.25">
      <c r="A11" t="s">
        <v>848</v>
      </c>
      <c r="B11">
        <v>353</v>
      </c>
      <c r="C11">
        <v>551</v>
      </c>
      <c r="E11" t="s">
        <v>848</v>
      </c>
      <c r="F11" s="5">
        <v>1.6999999999999999E-3</v>
      </c>
      <c r="G11" s="4">
        <v>2.7000000000000001E-3</v>
      </c>
      <c r="H11" s="4"/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218F6-28BD-4668-973C-AE31BFD075B6}">
  <dimension ref="A1:AR116"/>
  <sheetViews>
    <sheetView tabSelected="1" topLeftCell="Q1" zoomScaleNormal="100" workbookViewId="0">
      <selection activeCell="AF21" sqref="AF21:AF23"/>
    </sheetView>
  </sheetViews>
  <sheetFormatPr defaultRowHeight="15" x14ac:dyDescent="0.25"/>
  <cols>
    <col min="7" max="7" width="9.7109375" bestFit="1" customWidth="1"/>
    <col min="35" max="35" width="12" bestFit="1" customWidth="1"/>
  </cols>
  <sheetData>
    <row r="1" spans="1:36" x14ac:dyDescent="0.25">
      <c r="A1" t="s">
        <v>981</v>
      </c>
      <c r="C1" t="s">
        <v>1004</v>
      </c>
      <c r="D1" t="s">
        <v>990</v>
      </c>
      <c r="E1" t="s">
        <v>989</v>
      </c>
      <c r="F1" t="s">
        <v>988</v>
      </c>
      <c r="G1" t="s">
        <v>983</v>
      </c>
      <c r="H1" t="s">
        <v>984</v>
      </c>
      <c r="I1" t="s">
        <v>987</v>
      </c>
      <c r="J1" t="s">
        <v>986</v>
      </c>
      <c r="K1" t="s">
        <v>993</v>
      </c>
      <c r="N1" t="s">
        <v>1004</v>
      </c>
      <c r="O1" t="s">
        <v>990</v>
      </c>
      <c r="P1" t="s">
        <v>989</v>
      </c>
      <c r="Q1" t="s">
        <v>988</v>
      </c>
      <c r="R1" t="s">
        <v>983</v>
      </c>
      <c r="S1" t="s">
        <v>984</v>
      </c>
      <c r="T1" t="s">
        <v>987</v>
      </c>
      <c r="U1" t="s">
        <v>986</v>
      </c>
      <c r="V1" t="s">
        <v>993</v>
      </c>
      <c r="Y1" t="s">
        <v>1004</v>
      </c>
      <c r="Z1" t="s">
        <v>990</v>
      </c>
      <c r="AA1" t="s">
        <v>989</v>
      </c>
      <c r="AB1" t="s">
        <v>988</v>
      </c>
      <c r="AC1" t="s">
        <v>983</v>
      </c>
      <c r="AD1" t="s">
        <v>984</v>
      </c>
      <c r="AE1" t="s">
        <v>987</v>
      </c>
      <c r="AF1" t="s">
        <v>986</v>
      </c>
      <c r="AG1" t="s">
        <v>993</v>
      </c>
    </row>
    <row r="2" spans="1:36" x14ac:dyDescent="0.25">
      <c r="A2">
        <v>1</v>
      </c>
      <c r="C2">
        <v>26</v>
      </c>
      <c r="D2">
        <v>26</v>
      </c>
      <c r="E2">
        <v>26</v>
      </c>
      <c r="F2">
        <v>28</v>
      </c>
      <c r="G2">
        <v>28</v>
      </c>
      <c r="H2">
        <v>33</v>
      </c>
      <c r="I2">
        <v>39</v>
      </c>
      <c r="J2">
        <v>21</v>
      </c>
      <c r="K2">
        <v>69</v>
      </c>
      <c r="M2" s="16" t="s">
        <v>849</v>
      </c>
      <c r="N2" s="4">
        <v>1.47E-2</v>
      </c>
      <c r="O2" s="4">
        <v>1.0699999999999999E-2</v>
      </c>
      <c r="P2" s="4">
        <v>9.4000000000000004E-3</v>
      </c>
      <c r="Q2" s="4">
        <v>7.7000000000000002E-3</v>
      </c>
      <c r="R2" s="4">
        <v>7.4999999999999997E-3</v>
      </c>
      <c r="S2" s="4">
        <v>6.7000000000000002E-3</v>
      </c>
      <c r="T2" s="4">
        <v>5.7999999999999996E-3</v>
      </c>
      <c r="U2" s="4">
        <v>5.4000000000000003E-3</v>
      </c>
      <c r="V2" s="5">
        <v>1.9E-3</v>
      </c>
      <c r="W2" s="5">
        <v>0.22</v>
      </c>
      <c r="X2" t="s">
        <v>849</v>
      </c>
      <c r="Y2">
        <v>1261</v>
      </c>
      <c r="Z2">
        <v>852</v>
      </c>
      <c r="AA2">
        <v>725</v>
      </c>
      <c r="AB2">
        <v>552</v>
      </c>
      <c r="AC2">
        <v>527</v>
      </c>
      <c r="AD2">
        <v>451</v>
      </c>
      <c r="AE2">
        <v>354</v>
      </c>
      <c r="AF2">
        <v>310</v>
      </c>
      <c r="AG2">
        <v>191</v>
      </c>
      <c r="AI2" t="s">
        <v>994</v>
      </c>
    </row>
    <row r="3" spans="1:36" x14ac:dyDescent="0.25">
      <c r="A3">
        <v>2</v>
      </c>
      <c r="C3">
        <v>26</v>
      </c>
      <c r="D3">
        <v>26</v>
      </c>
      <c r="E3">
        <v>26</v>
      </c>
      <c r="F3">
        <v>28</v>
      </c>
      <c r="G3">
        <v>29</v>
      </c>
      <c r="H3">
        <v>32</v>
      </c>
      <c r="I3">
        <v>38</v>
      </c>
      <c r="J3">
        <v>23</v>
      </c>
      <c r="K3">
        <v>105</v>
      </c>
      <c r="M3" s="16" t="s">
        <v>848</v>
      </c>
      <c r="N3" s="4">
        <v>5.3E-3</v>
      </c>
      <c r="O3" s="4">
        <v>4.1999999999999997E-3</v>
      </c>
      <c r="P3" s="4">
        <v>3.7000000000000002E-3</v>
      </c>
      <c r="Q3" s="4">
        <v>3.0000000000000001E-3</v>
      </c>
      <c r="R3" s="4">
        <v>2.7000000000000001E-3</v>
      </c>
      <c r="S3" s="4">
        <v>2.5000000000000001E-3</v>
      </c>
      <c r="T3" s="4">
        <v>2.3999999999999998E-3</v>
      </c>
      <c r="U3" s="4">
        <v>2.3E-3</v>
      </c>
      <c r="V3" s="5">
        <v>1.6999999999999999E-3</v>
      </c>
      <c r="X3" t="s">
        <v>848</v>
      </c>
      <c r="Y3">
        <v>659</v>
      </c>
      <c r="Z3">
        <v>436</v>
      </c>
      <c r="AA3">
        <v>352</v>
      </c>
      <c r="AB3">
        <v>212</v>
      </c>
      <c r="AC3">
        <v>147</v>
      </c>
      <c r="AD3">
        <v>107</v>
      </c>
      <c r="AE3">
        <v>89</v>
      </c>
      <c r="AF3">
        <v>81</v>
      </c>
      <c r="AG3">
        <v>353</v>
      </c>
      <c r="AI3" s="7" t="s">
        <v>995</v>
      </c>
      <c r="AJ3" t="s">
        <v>982</v>
      </c>
    </row>
    <row r="4" spans="1:36" x14ac:dyDescent="0.25">
      <c r="A4">
        <v>3</v>
      </c>
      <c r="C4">
        <v>26</v>
      </c>
      <c r="D4">
        <v>27</v>
      </c>
      <c r="E4">
        <v>27</v>
      </c>
      <c r="F4">
        <v>28</v>
      </c>
      <c r="G4">
        <v>28</v>
      </c>
      <c r="H4">
        <v>24</v>
      </c>
      <c r="I4">
        <v>39</v>
      </c>
      <c r="J4">
        <v>23</v>
      </c>
      <c r="K4">
        <v>184</v>
      </c>
      <c r="S4" s="6"/>
      <c r="Z4">
        <f t="shared" ref="Z4:AE4" si="0">Y2-Z2</f>
        <v>409</v>
      </c>
      <c r="AA4">
        <f t="shared" si="0"/>
        <v>127</v>
      </c>
      <c r="AB4">
        <f t="shared" si="0"/>
        <v>173</v>
      </c>
      <c r="AC4">
        <f t="shared" si="0"/>
        <v>25</v>
      </c>
      <c r="AD4">
        <f t="shared" si="0"/>
        <v>76</v>
      </c>
      <c r="AE4">
        <f t="shared" si="0"/>
        <v>97</v>
      </c>
      <c r="AF4">
        <f>AE2-AF2</f>
        <v>44</v>
      </c>
      <c r="AI4" s="8" t="s">
        <v>996</v>
      </c>
    </row>
    <row r="5" spans="1:36" x14ac:dyDescent="0.25">
      <c r="A5">
        <v>4</v>
      </c>
      <c r="C5">
        <v>26</v>
      </c>
      <c r="D5">
        <v>27</v>
      </c>
      <c r="E5">
        <v>27</v>
      </c>
      <c r="F5">
        <v>28</v>
      </c>
      <c r="G5">
        <v>30</v>
      </c>
      <c r="H5">
        <v>34</v>
      </c>
      <c r="I5">
        <v>38</v>
      </c>
      <c r="J5">
        <v>24</v>
      </c>
      <c r="K5">
        <v>255</v>
      </c>
      <c r="S5" s="6"/>
      <c r="AI5" s="9" t="s">
        <v>997</v>
      </c>
    </row>
    <row r="6" spans="1:36" x14ac:dyDescent="0.25">
      <c r="A6">
        <v>5</v>
      </c>
      <c r="C6">
        <v>27</v>
      </c>
      <c r="D6">
        <v>27</v>
      </c>
      <c r="E6">
        <v>27</v>
      </c>
      <c r="F6">
        <v>28</v>
      </c>
      <c r="G6">
        <v>29</v>
      </c>
      <c r="H6">
        <v>33</v>
      </c>
      <c r="I6">
        <v>39</v>
      </c>
      <c r="J6">
        <v>26</v>
      </c>
      <c r="K6">
        <v>343</v>
      </c>
      <c r="AI6" s="10" t="s">
        <v>998</v>
      </c>
    </row>
    <row r="7" spans="1:36" x14ac:dyDescent="0.25">
      <c r="A7">
        <v>6</v>
      </c>
      <c r="C7">
        <v>26</v>
      </c>
      <c r="D7">
        <v>27</v>
      </c>
      <c r="E7">
        <v>27</v>
      </c>
      <c r="F7">
        <v>28</v>
      </c>
      <c r="G7">
        <v>24</v>
      </c>
      <c r="H7">
        <v>25</v>
      </c>
      <c r="I7">
        <v>37</v>
      </c>
      <c r="J7">
        <v>27</v>
      </c>
      <c r="K7">
        <v>428</v>
      </c>
      <c r="AI7" s="14" t="s">
        <v>1002</v>
      </c>
    </row>
    <row r="8" spans="1:36" x14ac:dyDescent="0.25">
      <c r="A8">
        <v>7</v>
      </c>
      <c r="C8">
        <v>26</v>
      </c>
      <c r="D8">
        <v>27</v>
      </c>
      <c r="E8">
        <v>27</v>
      </c>
      <c r="F8">
        <v>28</v>
      </c>
      <c r="G8">
        <v>30</v>
      </c>
      <c r="H8">
        <v>32</v>
      </c>
      <c r="I8">
        <v>39</v>
      </c>
      <c r="J8">
        <v>28</v>
      </c>
      <c r="K8">
        <v>487</v>
      </c>
      <c r="AI8" s="15" t="s">
        <v>1003</v>
      </c>
    </row>
    <row r="9" spans="1:36" x14ac:dyDescent="0.25">
      <c r="A9">
        <v>8</v>
      </c>
      <c r="C9">
        <v>26</v>
      </c>
      <c r="D9">
        <v>27</v>
      </c>
      <c r="E9">
        <v>27</v>
      </c>
      <c r="F9">
        <v>28</v>
      </c>
      <c r="G9">
        <v>29</v>
      </c>
      <c r="H9">
        <v>33</v>
      </c>
      <c r="I9">
        <v>40</v>
      </c>
      <c r="J9">
        <v>29</v>
      </c>
      <c r="K9">
        <v>558</v>
      </c>
      <c r="AI9" s="11" t="s">
        <v>999</v>
      </c>
    </row>
    <row r="10" spans="1:36" x14ac:dyDescent="0.25">
      <c r="A10">
        <v>9</v>
      </c>
      <c r="C10">
        <v>26</v>
      </c>
      <c r="D10">
        <v>26</v>
      </c>
      <c r="E10">
        <v>27</v>
      </c>
      <c r="F10">
        <v>27</v>
      </c>
      <c r="G10">
        <v>29</v>
      </c>
      <c r="H10">
        <v>26</v>
      </c>
      <c r="I10">
        <v>36</v>
      </c>
      <c r="J10">
        <v>30</v>
      </c>
      <c r="K10">
        <v>635</v>
      </c>
      <c r="AI10" s="12" t="s">
        <v>1000</v>
      </c>
    </row>
    <row r="11" spans="1:36" x14ac:dyDescent="0.25">
      <c r="A11">
        <v>10</v>
      </c>
      <c r="C11">
        <v>26</v>
      </c>
      <c r="D11">
        <v>27</v>
      </c>
      <c r="E11">
        <v>27</v>
      </c>
      <c r="F11">
        <v>28</v>
      </c>
      <c r="G11">
        <v>29</v>
      </c>
      <c r="H11">
        <v>33</v>
      </c>
      <c r="I11">
        <v>38</v>
      </c>
      <c r="J11">
        <v>31</v>
      </c>
      <c r="K11">
        <v>738</v>
      </c>
      <c r="AI11" s="13" t="s">
        <v>1001</v>
      </c>
      <c r="AJ11" t="s">
        <v>993</v>
      </c>
    </row>
    <row r="12" spans="1:36" x14ac:dyDescent="0.25">
      <c r="A12">
        <v>11</v>
      </c>
      <c r="C12">
        <v>26</v>
      </c>
      <c r="D12">
        <v>26</v>
      </c>
      <c r="E12">
        <v>27</v>
      </c>
      <c r="F12">
        <v>26</v>
      </c>
      <c r="G12">
        <v>30</v>
      </c>
      <c r="H12">
        <v>33</v>
      </c>
      <c r="I12">
        <v>39</v>
      </c>
      <c r="J12">
        <v>32</v>
      </c>
      <c r="K12">
        <v>798</v>
      </c>
    </row>
    <row r="13" spans="1:36" x14ac:dyDescent="0.25">
      <c r="A13">
        <v>12</v>
      </c>
      <c r="C13">
        <v>26</v>
      </c>
      <c r="D13">
        <v>27</v>
      </c>
      <c r="E13">
        <v>27</v>
      </c>
      <c r="F13">
        <v>28</v>
      </c>
      <c r="G13">
        <v>26</v>
      </c>
      <c r="H13">
        <v>26</v>
      </c>
      <c r="I13">
        <v>39</v>
      </c>
      <c r="J13">
        <v>33</v>
      </c>
      <c r="K13">
        <v>874</v>
      </c>
    </row>
    <row r="14" spans="1:36" x14ac:dyDescent="0.25">
      <c r="A14">
        <v>13</v>
      </c>
      <c r="C14">
        <v>26</v>
      </c>
      <c r="D14">
        <v>27</v>
      </c>
      <c r="E14">
        <v>28</v>
      </c>
      <c r="F14">
        <v>28</v>
      </c>
      <c r="G14">
        <v>29</v>
      </c>
      <c r="H14">
        <v>33</v>
      </c>
      <c r="I14">
        <v>39</v>
      </c>
      <c r="J14">
        <v>33</v>
      </c>
      <c r="K14">
        <v>980</v>
      </c>
    </row>
    <row r="15" spans="1:36" x14ac:dyDescent="0.25">
      <c r="A15">
        <v>14</v>
      </c>
      <c r="C15">
        <v>26</v>
      </c>
      <c r="D15">
        <v>28</v>
      </c>
      <c r="E15">
        <v>27</v>
      </c>
      <c r="F15">
        <v>28</v>
      </c>
      <c r="G15">
        <v>29</v>
      </c>
      <c r="H15">
        <v>33</v>
      </c>
      <c r="I15">
        <v>37</v>
      </c>
      <c r="J15">
        <v>35</v>
      </c>
      <c r="K15">
        <v>1031</v>
      </c>
    </row>
    <row r="16" spans="1:36" x14ac:dyDescent="0.25">
      <c r="A16">
        <v>15</v>
      </c>
      <c r="C16">
        <v>26</v>
      </c>
      <c r="D16">
        <v>27</v>
      </c>
      <c r="E16">
        <v>27</v>
      </c>
      <c r="F16">
        <v>28</v>
      </c>
      <c r="G16">
        <v>28</v>
      </c>
      <c r="H16">
        <v>28</v>
      </c>
      <c r="I16">
        <v>38</v>
      </c>
      <c r="J16">
        <v>35</v>
      </c>
      <c r="K16">
        <v>1106</v>
      </c>
    </row>
    <row r="17" spans="1:44" x14ac:dyDescent="0.25">
      <c r="A17">
        <v>16</v>
      </c>
      <c r="C17">
        <v>25</v>
      </c>
      <c r="D17">
        <v>27</v>
      </c>
      <c r="E17">
        <v>26</v>
      </c>
      <c r="F17">
        <v>29</v>
      </c>
      <c r="G17">
        <v>29</v>
      </c>
      <c r="H17">
        <v>34</v>
      </c>
      <c r="I17">
        <v>38</v>
      </c>
      <c r="J17">
        <v>37</v>
      </c>
      <c r="K17">
        <v>1206</v>
      </c>
    </row>
    <row r="18" spans="1:44" x14ac:dyDescent="0.25">
      <c r="A18">
        <v>17</v>
      </c>
      <c r="C18">
        <v>26</v>
      </c>
      <c r="D18">
        <v>28</v>
      </c>
      <c r="E18">
        <v>27</v>
      </c>
      <c r="F18">
        <v>27</v>
      </c>
      <c r="G18">
        <v>30</v>
      </c>
      <c r="H18">
        <v>33</v>
      </c>
      <c r="I18">
        <v>38</v>
      </c>
      <c r="J18">
        <v>38</v>
      </c>
      <c r="K18">
        <v>1256</v>
      </c>
    </row>
    <row r="19" spans="1:44" x14ac:dyDescent="0.25">
      <c r="A19">
        <v>18</v>
      </c>
      <c r="C19">
        <v>26</v>
      </c>
      <c r="D19">
        <v>28</v>
      </c>
      <c r="E19">
        <v>27</v>
      </c>
      <c r="F19">
        <v>28</v>
      </c>
      <c r="G19">
        <v>28</v>
      </c>
      <c r="H19">
        <v>30</v>
      </c>
      <c r="I19">
        <v>40</v>
      </c>
      <c r="J19">
        <v>39</v>
      </c>
      <c r="K19">
        <v>1372</v>
      </c>
    </row>
    <row r="20" spans="1:44" x14ac:dyDescent="0.25">
      <c r="A20">
        <v>19</v>
      </c>
      <c r="C20">
        <v>26</v>
      </c>
      <c r="D20">
        <v>28</v>
      </c>
      <c r="E20">
        <v>28</v>
      </c>
      <c r="F20">
        <v>27</v>
      </c>
      <c r="G20">
        <v>29</v>
      </c>
      <c r="H20">
        <v>34</v>
      </c>
      <c r="I20">
        <v>36</v>
      </c>
      <c r="J20">
        <v>41</v>
      </c>
      <c r="K20">
        <v>1425</v>
      </c>
    </row>
    <row r="21" spans="1:44" x14ac:dyDescent="0.25">
      <c r="A21">
        <v>20</v>
      </c>
      <c r="C21">
        <v>26</v>
      </c>
      <c r="D21">
        <v>27</v>
      </c>
      <c r="E21">
        <v>27</v>
      </c>
      <c r="F21">
        <v>28</v>
      </c>
      <c r="G21">
        <v>28</v>
      </c>
      <c r="H21">
        <v>33</v>
      </c>
      <c r="I21">
        <v>39</v>
      </c>
      <c r="J21">
        <v>41</v>
      </c>
      <c r="K21">
        <v>1526</v>
      </c>
      <c r="N21" t="s">
        <v>1004</v>
      </c>
      <c r="O21" t="s">
        <v>990</v>
      </c>
      <c r="P21" t="s">
        <v>989</v>
      </c>
      <c r="Q21" t="s">
        <v>988</v>
      </c>
      <c r="R21" t="s">
        <v>983</v>
      </c>
      <c r="S21" t="s">
        <v>984</v>
      </c>
      <c r="T21" t="s">
        <v>987</v>
      </c>
      <c r="U21" t="s">
        <v>986</v>
      </c>
      <c r="V21" t="s">
        <v>993</v>
      </c>
      <c r="X21" t="s">
        <v>991</v>
      </c>
      <c r="Y21">
        <v>26.5</v>
      </c>
      <c r="Z21">
        <v>27.5</v>
      </c>
      <c r="AA21">
        <v>27.5</v>
      </c>
      <c r="AB21">
        <v>28</v>
      </c>
      <c r="AC21">
        <v>29.5</v>
      </c>
      <c r="AD21">
        <v>33.5</v>
      </c>
      <c r="AE21">
        <v>39</v>
      </c>
      <c r="AF21">
        <v>54</v>
      </c>
      <c r="AG21">
        <f>K67</f>
        <v>2368.75</v>
      </c>
    </row>
    <row r="22" spans="1:44" x14ac:dyDescent="0.25">
      <c r="A22">
        <v>21</v>
      </c>
      <c r="C22">
        <v>26</v>
      </c>
      <c r="D22">
        <v>27</v>
      </c>
      <c r="E22">
        <v>27</v>
      </c>
      <c r="F22">
        <v>28</v>
      </c>
      <c r="G22">
        <v>29</v>
      </c>
      <c r="H22">
        <v>29</v>
      </c>
      <c r="I22">
        <v>40</v>
      </c>
      <c r="J22">
        <v>42</v>
      </c>
      <c r="K22">
        <v>1557</v>
      </c>
      <c r="M22" t="s">
        <v>849</v>
      </c>
      <c r="N22" s="4">
        <f>1261/1493</f>
        <v>0.8446081714668453</v>
      </c>
      <c r="O22" s="4">
        <f>852/1084</f>
        <v>0.7859778597785978</v>
      </c>
      <c r="P22" s="4">
        <f>725/957</f>
        <v>0.75757575757575757</v>
      </c>
      <c r="Q22" s="4">
        <f>552/784</f>
        <v>0.70408163265306123</v>
      </c>
      <c r="R22" s="4">
        <f>527/758</f>
        <v>0.69525065963060684</v>
      </c>
      <c r="S22" s="4">
        <f>451/681</f>
        <v>0.66226138032305437</v>
      </c>
      <c r="T22" s="4">
        <f>354/588</f>
        <v>0.60204081632653061</v>
      </c>
      <c r="U22" s="4">
        <f>355/589</f>
        <v>0.60271646859083194</v>
      </c>
      <c r="X22" t="s">
        <v>992</v>
      </c>
      <c r="Y22" s="5">
        <f t="shared" ref="Y22:AG22" si="1">MAX(N2:N3)</f>
        <v>1.47E-2</v>
      </c>
      <c r="Z22" s="5">
        <f t="shared" si="1"/>
        <v>1.0699999999999999E-2</v>
      </c>
      <c r="AA22" s="5">
        <f t="shared" si="1"/>
        <v>9.4000000000000004E-3</v>
      </c>
      <c r="AB22" s="5">
        <f t="shared" si="1"/>
        <v>7.7000000000000002E-3</v>
      </c>
      <c r="AC22" s="5">
        <f t="shared" si="1"/>
        <v>7.4999999999999997E-3</v>
      </c>
      <c r="AD22" s="5">
        <f t="shared" si="1"/>
        <v>6.7000000000000002E-3</v>
      </c>
      <c r="AE22" s="5">
        <f t="shared" si="1"/>
        <v>5.7999999999999996E-3</v>
      </c>
      <c r="AF22" s="5">
        <f t="shared" si="1"/>
        <v>5.4000000000000003E-3</v>
      </c>
      <c r="AG22" s="5">
        <f t="shared" si="1"/>
        <v>1.9E-3</v>
      </c>
      <c r="AK22" s="5"/>
      <c r="AL22" s="5"/>
      <c r="AM22" s="5"/>
      <c r="AN22" s="5"/>
      <c r="AO22" s="5"/>
      <c r="AP22" s="5"/>
      <c r="AQ22" s="5"/>
      <c r="AR22" s="5"/>
    </row>
    <row r="23" spans="1:44" x14ac:dyDescent="0.25">
      <c r="A23">
        <v>22</v>
      </c>
      <c r="C23">
        <v>26</v>
      </c>
      <c r="D23">
        <v>27</v>
      </c>
      <c r="E23">
        <v>26</v>
      </c>
      <c r="F23">
        <v>27</v>
      </c>
      <c r="G23">
        <v>29</v>
      </c>
      <c r="H23">
        <v>32</v>
      </c>
      <c r="I23">
        <v>41</v>
      </c>
      <c r="J23">
        <v>42</v>
      </c>
      <c r="K23">
        <v>1681</v>
      </c>
      <c r="M23" t="s">
        <v>848</v>
      </c>
      <c r="N23" s="4">
        <f>659/1065</f>
        <v>0.61877934272300472</v>
      </c>
      <c r="O23" s="4">
        <f>436/842</f>
        <v>0.51781472684085506</v>
      </c>
      <c r="P23" s="4">
        <f>352/758</f>
        <v>0.46437994722955145</v>
      </c>
      <c r="Q23" s="4">
        <f>212/618</f>
        <v>0.34304207119741098</v>
      </c>
      <c r="R23" s="4">
        <f>147/553</f>
        <v>0.26582278481012656</v>
      </c>
      <c r="S23" s="4">
        <f>107/513</f>
        <v>0.20857699805068225</v>
      </c>
      <c r="T23" s="4">
        <f>89/495</f>
        <v>0.17979797979797979</v>
      </c>
      <c r="U23" s="4">
        <f>82/488</f>
        <v>0.16803278688524589</v>
      </c>
      <c r="Y23" t="s">
        <v>1004</v>
      </c>
      <c r="Z23" t="s">
        <v>990</v>
      </c>
      <c r="AA23" t="s">
        <v>989</v>
      </c>
      <c r="AB23" t="s">
        <v>988</v>
      </c>
      <c r="AC23" t="s">
        <v>983</v>
      </c>
      <c r="AD23" t="s">
        <v>984</v>
      </c>
      <c r="AE23" t="s">
        <v>987</v>
      </c>
      <c r="AF23" t="s">
        <v>986</v>
      </c>
      <c r="AG23" t="s">
        <v>993</v>
      </c>
    </row>
    <row r="24" spans="1:44" x14ac:dyDescent="0.25">
      <c r="A24">
        <v>23</v>
      </c>
      <c r="C24">
        <v>26</v>
      </c>
      <c r="D24">
        <v>27</v>
      </c>
      <c r="E24">
        <v>27</v>
      </c>
      <c r="F24">
        <v>28</v>
      </c>
      <c r="G24">
        <v>30</v>
      </c>
      <c r="H24">
        <v>32</v>
      </c>
      <c r="I24">
        <v>36</v>
      </c>
      <c r="J24">
        <v>43</v>
      </c>
      <c r="K24">
        <v>1758</v>
      </c>
    </row>
    <row r="25" spans="1:44" x14ac:dyDescent="0.25">
      <c r="A25">
        <v>24</v>
      </c>
      <c r="C25">
        <v>26</v>
      </c>
      <c r="D25">
        <v>27</v>
      </c>
      <c r="E25">
        <v>27</v>
      </c>
      <c r="F25">
        <v>28</v>
      </c>
      <c r="G25">
        <v>29</v>
      </c>
      <c r="H25">
        <v>31</v>
      </c>
      <c r="I25">
        <v>38</v>
      </c>
      <c r="J25">
        <v>45</v>
      </c>
      <c r="K25">
        <v>1837</v>
      </c>
    </row>
    <row r="26" spans="1:44" x14ac:dyDescent="0.25">
      <c r="A26">
        <v>25</v>
      </c>
      <c r="C26">
        <v>26</v>
      </c>
      <c r="D26">
        <v>27</v>
      </c>
      <c r="E26">
        <v>27</v>
      </c>
      <c r="F26">
        <v>29</v>
      </c>
      <c r="G26">
        <v>29</v>
      </c>
      <c r="H26">
        <v>34</v>
      </c>
      <c r="I26">
        <v>36</v>
      </c>
      <c r="J26">
        <v>48</v>
      </c>
      <c r="K26">
        <v>1927</v>
      </c>
    </row>
    <row r="27" spans="1:44" x14ac:dyDescent="0.25">
      <c r="A27">
        <v>26</v>
      </c>
      <c r="C27">
        <v>25</v>
      </c>
      <c r="D27">
        <v>27</v>
      </c>
      <c r="E27">
        <v>27</v>
      </c>
      <c r="F27">
        <v>28</v>
      </c>
      <c r="G27">
        <v>28</v>
      </c>
      <c r="H27">
        <v>33</v>
      </c>
      <c r="I27">
        <v>37</v>
      </c>
      <c r="J27">
        <v>46</v>
      </c>
      <c r="K27">
        <v>1999</v>
      </c>
    </row>
    <row r="28" spans="1:44" x14ac:dyDescent="0.25">
      <c r="A28">
        <v>27</v>
      </c>
      <c r="C28">
        <v>26</v>
      </c>
      <c r="D28">
        <v>27</v>
      </c>
      <c r="E28">
        <v>26</v>
      </c>
      <c r="F28">
        <v>27</v>
      </c>
      <c r="G28">
        <v>28</v>
      </c>
      <c r="H28">
        <v>32</v>
      </c>
      <c r="I28">
        <v>38</v>
      </c>
      <c r="J28">
        <v>47</v>
      </c>
      <c r="K28">
        <v>2098</v>
      </c>
    </row>
    <row r="29" spans="1:44" x14ac:dyDescent="0.25">
      <c r="A29">
        <v>28</v>
      </c>
      <c r="C29">
        <v>25</v>
      </c>
      <c r="D29">
        <v>27</v>
      </c>
      <c r="E29">
        <v>26</v>
      </c>
      <c r="F29">
        <v>27</v>
      </c>
      <c r="G29">
        <v>28</v>
      </c>
      <c r="H29">
        <v>35</v>
      </c>
      <c r="I29">
        <v>37</v>
      </c>
      <c r="J29">
        <v>48</v>
      </c>
      <c r="K29">
        <v>2138</v>
      </c>
    </row>
    <row r="30" spans="1:44" x14ac:dyDescent="0.25">
      <c r="A30">
        <v>29</v>
      </c>
      <c r="C30">
        <v>26</v>
      </c>
      <c r="D30">
        <v>27</v>
      </c>
      <c r="E30">
        <v>27</v>
      </c>
      <c r="F30">
        <v>27</v>
      </c>
      <c r="G30">
        <v>29</v>
      </c>
      <c r="H30">
        <v>34</v>
      </c>
      <c r="I30">
        <v>38</v>
      </c>
      <c r="J30">
        <v>50</v>
      </c>
      <c r="K30">
        <v>2206</v>
      </c>
    </row>
    <row r="31" spans="1:44" x14ac:dyDescent="0.25">
      <c r="A31">
        <v>30</v>
      </c>
      <c r="C31">
        <v>26</v>
      </c>
      <c r="D31">
        <v>27</v>
      </c>
      <c r="E31">
        <v>27</v>
      </c>
      <c r="F31">
        <v>28</v>
      </c>
      <c r="G31">
        <v>29</v>
      </c>
      <c r="H31">
        <v>33</v>
      </c>
      <c r="I31">
        <v>41</v>
      </c>
      <c r="J31">
        <v>52</v>
      </c>
      <c r="K31">
        <v>2345</v>
      </c>
    </row>
    <row r="32" spans="1:44" x14ac:dyDescent="0.25">
      <c r="A32">
        <v>31</v>
      </c>
      <c r="C32">
        <v>26</v>
      </c>
      <c r="D32">
        <v>27</v>
      </c>
      <c r="E32">
        <v>27</v>
      </c>
      <c r="F32">
        <v>28</v>
      </c>
      <c r="G32">
        <v>29</v>
      </c>
      <c r="H32">
        <v>33</v>
      </c>
      <c r="I32">
        <v>37</v>
      </c>
      <c r="J32">
        <v>51</v>
      </c>
      <c r="K32">
        <v>2405</v>
      </c>
    </row>
    <row r="33" spans="1:11" x14ac:dyDescent="0.25">
      <c r="A33">
        <v>32</v>
      </c>
      <c r="C33">
        <v>26</v>
      </c>
      <c r="D33">
        <v>27</v>
      </c>
      <c r="E33">
        <v>27</v>
      </c>
      <c r="F33">
        <v>28</v>
      </c>
      <c r="G33">
        <v>29</v>
      </c>
      <c r="H33">
        <v>34</v>
      </c>
      <c r="I33">
        <v>38</v>
      </c>
      <c r="J33">
        <v>54</v>
      </c>
      <c r="K33">
        <v>2441</v>
      </c>
    </row>
    <row r="34" spans="1:11" x14ac:dyDescent="0.25">
      <c r="A34">
        <v>33</v>
      </c>
      <c r="C34">
        <v>26</v>
      </c>
      <c r="D34">
        <v>28</v>
      </c>
      <c r="E34">
        <v>26</v>
      </c>
      <c r="F34">
        <v>29</v>
      </c>
      <c r="G34">
        <v>28</v>
      </c>
      <c r="H34">
        <v>34</v>
      </c>
      <c r="I34">
        <v>39</v>
      </c>
      <c r="J34">
        <v>53</v>
      </c>
      <c r="K34">
        <v>2541</v>
      </c>
    </row>
    <row r="35" spans="1:11" x14ac:dyDescent="0.25">
      <c r="A35">
        <v>34</v>
      </c>
      <c r="C35">
        <v>26</v>
      </c>
      <c r="D35">
        <v>27</v>
      </c>
      <c r="E35">
        <v>27</v>
      </c>
      <c r="F35">
        <v>28</v>
      </c>
      <c r="G35">
        <v>30</v>
      </c>
      <c r="H35">
        <v>35</v>
      </c>
      <c r="I35">
        <v>37</v>
      </c>
      <c r="J35">
        <v>55</v>
      </c>
      <c r="K35">
        <v>2644</v>
      </c>
    </row>
    <row r="36" spans="1:11" x14ac:dyDescent="0.25">
      <c r="A36">
        <v>35</v>
      </c>
      <c r="C36">
        <v>26</v>
      </c>
      <c r="D36">
        <v>28</v>
      </c>
      <c r="E36">
        <v>27</v>
      </c>
      <c r="F36">
        <v>28</v>
      </c>
      <c r="G36">
        <v>29</v>
      </c>
      <c r="H36">
        <v>34</v>
      </c>
      <c r="I36">
        <v>38</v>
      </c>
      <c r="J36">
        <v>55</v>
      </c>
      <c r="K36">
        <v>2701</v>
      </c>
    </row>
    <row r="37" spans="1:11" x14ac:dyDescent="0.25">
      <c r="A37">
        <v>36</v>
      </c>
      <c r="C37">
        <v>26</v>
      </c>
      <c r="D37">
        <v>27</v>
      </c>
      <c r="E37">
        <v>27</v>
      </c>
      <c r="F37">
        <v>28</v>
      </c>
      <c r="G37">
        <v>31</v>
      </c>
      <c r="H37">
        <v>36</v>
      </c>
      <c r="I37">
        <v>37</v>
      </c>
      <c r="J37">
        <v>55</v>
      </c>
      <c r="K37">
        <v>2728</v>
      </c>
    </row>
    <row r="38" spans="1:11" x14ac:dyDescent="0.25">
      <c r="A38">
        <v>37</v>
      </c>
      <c r="C38">
        <v>26</v>
      </c>
      <c r="D38">
        <v>27</v>
      </c>
      <c r="E38">
        <v>27</v>
      </c>
      <c r="F38">
        <v>27</v>
      </c>
      <c r="G38">
        <v>30</v>
      </c>
      <c r="H38">
        <v>33</v>
      </c>
      <c r="I38">
        <v>38</v>
      </c>
      <c r="J38">
        <v>61</v>
      </c>
      <c r="K38">
        <v>2826</v>
      </c>
    </row>
    <row r="39" spans="1:11" x14ac:dyDescent="0.25">
      <c r="A39">
        <v>38</v>
      </c>
      <c r="C39">
        <v>26</v>
      </c>
      <c r="D39">
        <v>28</v>
      </c>
      <c r="E39">
        <v>27</v>
      </c>
      <c r="F39">
        <v>28</v>
      </c>
      <c r="G39">
        <v>29</v>
      </c>
      <c r="H39">
        <v>33</v>
      </c>
      <c r="I39">
        <v>41</v>
      </c>
      <c r="J39">
        <v>59</v>
      </c>
      <c r="K39">
        <v>2907</v>
      </c>
    </row>
    <row r="40" spans="1:11" x14ac:dyDescent="0.25">
      <c r="A40">
        <v>39</v>
      </c>
      <c r="C40">
        <v>26</v>
      </c>
      <c r="D40">
        <v>27</v>
      </c>
      <c r="E40">
        <v>27</v>
      </c>
      <c r="F40">
        <v>28</v>
      </c>
      <c r="G40">
        <v>28</v>
      </c>
      <c r="H40">
        <v>37</v>
      </c>
      <c r="I40">
        <v>38</v>
      </c>
      <c r="J40">
        <v>59</v>
      </c>
      <c r="K40">
        <v>3037</v>
      </c>
    </row>
    <row r="41" spans="1:11" x14ac:dyDescent="0.25">
      <c r="A41">
        <v>40</v>
      </c>
      <c r="C41">
        <v>25</v>
      </c>
      <c r="D41">
        <v>27</v>
      </c>
      <c r="E41">
        <v>27</v>
      </c>
      <c r="F41">
        <v>28</v>
      </c>
      <c r="G41">
        <v>29</v>
      </c>
      <c r="H41">
        <v>32</v>
      </c>
      <c r="I41">
        <v>38</v>
      </c>
      <c r="J41">
        <v>60</v>
      </c>
      <c r="K41">
        <v>3012</v>
      </c>
    </row>
    <row r="42" spans="1:11" x14ac:dyDescent="0.25">
      <c r="A42">
        <v>41</v>
      </c>
      <c r="C42">
        <v>26</v>
      </c>
      <c r="D42">
        <v>27</v>
      </c>
      <c r="E42">
        <v>27</v>
      </c>
      <c r="F42">
        <v>28</v>
      </c>
      <c r="G42">
        <v>29</v>
      </c>
      <c r="H42">
        <v>35</v>
      </c>
      <c r="I42">
        <v>40</v>
      </c>
      <c r="J42">
        <v>63</v>
      </c>
      <c r="K42">
        <v>3154</v>
      </c>
    </row>
    <row r="43" spans="1:11" x14ac:dyDescent="0.25">
      <c r="A43">
        <v>42</v>
      </c>
      <c r="C43">
        <v>26</v>
      </c>
      <c r="D43">
        <v>27</v>
      </c>
      <c r="E43">
        <v>27</v>
      </c>
      <c r="F43">
        <v>27</v>
      </c>
      <c r="G43">
        <v>33</v>
      </c>
      <c r="H43">
        <v>38</v>
      </c>
      <c r="I43">
        <v>40</v>
      </c>
      <c r="J43">
        <v>63</v>
      </c>
      <c r="K43">
        <v>3283</v>
      </c>
    </row>
    <row r="44" spans="1:11" x14ac:dyDescent="0.25">
      <c r="A44">
        <v>43</v>
      </c>
      <c r="C44">
        <v>26</v>
      </c>
      <c r="D44">
        <v>27</v>
      </c>
      <c r="E44">
        <v>27</v>
      </c>
      <c r="F44">
        <v>28</v>
      </c>
      <c r="G44">
        <v>29</v>
      </c>
      <c r="H44">
        <v>34</v>
      </c>
      <c r="I44">
        <v>39</v>
      </c>
      <c r="J44">
        <v>63</v>
      </c>
      <c r="K44">
        <v>3310</v>
      </c>
    </row>
    <row r="45" spans="1:11" x14ac:dyDescent="0.25">
      <c r="A45">
        <v>44</v>
      </c>
      <c r="C45">
        <v>26</v>
      </c>
      <c r="D45">
        <v>27</v>
      </c>
      <c r="E45">
        <v>29</v>
      </c>
      <c r="F45">
        <v>30</v>
      </c>
      <c r="G45">
        <v>29</v>
      </c>
      <c r="H45">
        <v>34</v>
      </c>
      <c r="I45">
        <v>37</v>
      </c>
      <c r="J45">
        <v>66</v>
      </c>
      <c r="K45">
        <v>3404</v>
      </c>
    </row>
    <row r="46" spans="1:11" x14ac:dyDescent="0.25">
      <c r="A46">
        <v>45</v>
      </c>
      <c r="C46">
        <v>26</v>
      </c>
      <c r="D46">
        <v>26</v>
      </c>
      <c r="E46">
        <v>28</v>
      </c>
      <c r="F46">
        <v>27</v>
      </c>
      <c r="G46">
        <v>29</v>
      </c>
      <c r="H46">
        <v>38</v>
      </c>
      <c r="I46">
        <v>38</v>
      </c>
      <c r="J46">
        <v>67</v>
      </c>
      <c r="K46">
        <v>3421</v>
      </c>
    </row>
    <row r="47" spans="1:11" x14ac:dyDescent="0.25">
      <c r="A47">
        <v>46</v>
      </c>
      <c r="C47">
        <v>26</v>
      </c>
      <c r="D47">
        <v>27</v>
      </c>
      <c r="E47">
        <v>27</v>
      </c>
      <c r="F47">
        <v>29</v>
      </c>
      <c r="G47">
        <v>29</v>
      </c>
      <c r="H47">
        <v>33</v>
      </c>
      <c r="I47">
        <v>40</v>
      </c>
      <c r="J47">
        <v>67</v>
      </c>
      <c r="K47">
        <v>3592</v>
      </c>
    </row>
    <row r="48" spans="1:11" x14ac:dyDescent="0.25">
      <c r="A48">
        <v>47</v>
      </c>
      <c r="C48">
        <v>26</v>
      </c>
      <c r="D48">
        <v>27</v>
      </c>
      <c r="E48">
        <v>27</v>
      </c>
      <c r="F48">
        <v>28</v>
      </c>
      <c r="G48">
        <v>29</v>
      </c>
      <c r="H48">
        <v>33</v>
      </c>
      <c r="I48">
        <v>38</v>
      </c>
      <c r="J48">
        <v>68</v>
      </c>
      <c r="K48">
        <v>3650</v>
      </c>
    </row>
    <row r="49" spans="1:11" x14ac:dyDescent="0.25">
      <c r="A49">
        <v>48</v>
      </c>
      <c r="C49">
        <v>26</v>
      </c>
      <c r="D49">
        <v>28</v>
      </c>
      <c r="E49">
        <v>27</v>
      </c>
      <c r="F49">
        <v>28</v>
      </c>
      <c r="G49">
        <v>32</v>
      </c>
      <c r="H49">
        <v>40</v>
      </c>
      <c r="I49">
        <v>39</v>
      </c>
      <c r="J49">
        <v>69</v>
      </c>
      <c r="K49">
        <v>3736</v>
      </c>
    </row>
    <row r="50" spans="1:11" x14ac:dyDescent="0.25">
      <c r="A50">
        <v>49</v>
      </c>
      <c r="C50">
        <v>27</v>
      </c>
      <c r="D50">
        <v>27</v>
      </c>
      <c r="E50">
        <v>27</v>
      </c>
      <c r="F50">
        <v>28</v>
      </c>
      <c r="G50">
        <v>29</v>
      </c>
      <c r="H50">
        <v>33</v>
      </c>
      <c r="I50">
        <v>38</v>
      </c>
      <c r="J50">
        <v>71</v>
      </c>
      <c r="K50">
        <v>3811</v>
      </c>
    </row>
    <row r="51" spans="1:11" x14ac:dyDescent="0.25">
      <c r="A51">
        <v>50</v>
      </c>
      <c r="C51">
        <v>26</v>
      </c>
      <c r="D51">
        <v>27</v>
      </c>
      <c r="E51">
        <v>27</v>
      </c>
      <c r="F51">
        <v>27</v>
      </c>
      <c r="G51">
        <v>29</v>
      </c>
      <c r="H51">
        <v>34</v>
      </c>
      <c r="I51">
        <v>38</v>
      </c>
      <c r="J51">
        <v>70</v>
      </c>
      <c r="K51">
        <v>3870</v>
      </c>
    </row>
    <row r="52" spans="1:11" x14ac:dyDescent="0.25">
      <c r="A52">
        <v>51</v>
      </c>
      <c r="C52">
        <v>26</v>
      </c>
      <c r="D52">
        <v>27</v>
      </c>
      <c r="E52">
        <v>28</v>
      </c>
      <c r="F52">
        <v>28</v>
      </c>
      <c r="G52">
        <v>29</v>
      </c>
      <c r="H52">
        <v>40</v>
      </c>
      <c r="I52">
        <v>39</v>
      </c>
      <c r="J52">
        <v>72</v>
      </c>
      <c r="K52">
        <v>3976</v>
      </c>
    </row>
    <row r="53" spans="1:11" x14ac:dyDescent="0.25">
      <c r="A53">
        <v>52</v>
      </c>
      <c r="C53">
        <v>26</v>
      </c>
      <c r="D53">
        <v>27</v>
      </c>
      <c r="E53">
        <v>27</v>
      </c>
      <c r="F53">
        <v>28</v>
      </c>
      <c r="G53">
        <v>30</v>
      </c>
      <c r="H53">
        <v>34</v>
      </c>
      <c r="I53">
        <v>39</v>
      </c>
      <c r="J53">
        <v>72</v>
      </c>
      <c r="K53">
        <v>4005</v>
      </c>
    </row>
    <row r="54" spans="1:11" x14ac:dyDescent="0.25">
      <c r="A54">
        <v>53</v>
      </c>
      <c r="C54">
        <v>26</v>
      </c>
      <c r="D54">
        <v>27</v>
      </c>
      <c r="E54">
        <v>27</v>
      </c>
      <c r="F54">
        <v>28</v>
      </c>
      <c r="G54">
        <v>30</v>
      </c>
      <c r="H54">
        <v>33</v>
      </c>
      <c r="I54">
        <v>40</v>
      </c>
      <c r="J54">
        <v>74</v>
      </c>
      <c r="K54">
        <v>4083</v>
      </c>
    </row>
    <row r="55" spans="1:11" x14ac:dyDescent="0.25">
      <c r="A55">
        <v>54</v>
      </c>
      <c r="C55">
        <v>26</v>
      </c>
      <c r="D55">
        <v>27</v>
      </c>
      <c r="E55">
        <v>26</v>
      </c>
      <c r="F55">
        <v>28</v>
      </c>
      <c r="G55">
        <v>33</v>
      </c>
      <c r="H55">
        <v>41</v>
      </c>
      <c r="I55">
        <v>39</v>
      </c>
      <c r="J55">
        <v>76</v>
      </c>
      <c r="K55">
        <v>4162</v>
      </c>
    </row>
    <row r="56" spans="1:11" x14ac:dyDescent="0.25">
      <c r="A56">
        <v>55</v>
      </c>
      <c r="C56">
        <v>27</v>
      </c>
      <c r="D56">
        <v>27</v>
      </c>
      <c r="E56">
        <v>27</v>
      </c>
      <c r="F56">
        <v>31</v>
      </c>
      <c r="G56">
        <v>29</v>
      </c>
      <c r="H56">
        <v>35</v>
      </c>
      <c r="I56">
        <v>40</v>
      </c>
      <c r="J56">
        <v>78</v>
      </c>
      <c r="K56">
        <v>4289</v>
      </c>
    </row>
    <row r="57" spans="1:11" x14ac:dyDescent="0.25">
      <c r="A57">
        <v>56</v>
      </c>
      <c r="C57">
        <v>26</v>
      </c>
      <c r="D57">
        <v>27</v>
      </c>
      <c r="E57">
        <v>28</v>
      </c>
      <c r="F57">
        <v>28</v>
      </c>
      <c r="G57">
        <v>29</v>
      </c>
      <c r="H57">
        <v>34</v>
      </c>
      <c r="I57">
        <v>38</v>
      </c>
      <c r="J57">
        <v>76</v>
      </c>
      <c r="K57">
        <v>4330</v>
      </c>
    </row>
    <row r="58" spans="1:11" x14ac:dyDescent="0.25">
      <c r="A58">
        <v>57</v>
      </c>
      <c r="C58">
        <v>26</v>
      </c>
      <c r="D58">
        <v>27</v>
      </c>
      <c r="E58">
        <v>28</v>
      </c>
      <c r="F58">
        <v>27</v>
      </c>
      <c r="G58">
        <v>28</v>
      </c>
      <c r="H58">
        <v>42</v>
      </c>
      <c r="I58">
        <v>40</v>
      </c>
      <c r="J58">
        <v>78</v>
      </c>
      <c r="K58">
        <v>4417</v>
      </c>
    </row>
    <row r="59" spans="1:11" x14ac:dyDescent="0.25">
      <c r="A59">
        <v>58</v>
      </c>
      <c r="C59">
        <v>26</v>
      </c>
      <c r="D59">
        <v>28</v>
      </c>
      <c r="E59">
        <v>27</v>
      </c>
      <c r="F59">
        <v>29</v>
      </c>
      <c r="G59">
        <v>29</v>
      </c>
      <c r="H59">
        <v>33</v>
      </c>
      <c r="I59">
        <v>39</v>
      </c>
      <c r="J59">
        <v>79</v>
      </c>
      <c r="K59">
        <v>4500</v>
      </c>
    </row>
    <row r="60" spans="1:11" x14ac:dyDescent="0.25">
      <c r="A60">
        <v>59</v>
      </c>
      <c r="C60">
        <v>26</v>
      </c>
      <c r="D60">
        <v>27</v>
      </c>
      <c r="E60">
        <v>27</v>
      </c>
      <c r="F60">
        <v>28</v>
      </c>
      <c r="G60">
        <v>30</v>
      </c>
      <c r="H60">
        <v>33</v>
      </c>
      <c r="I60">
        <v>39</v>
      </c>
      <c r="J60">
        <v>78</v>
      </c>
      <c r="K60">
        <v>4571</v>
      </c>
    </row>
    <row r="61" spans="1:11" x14ac:dyDescent="0.25">
      <c r="A61">
        <v>60</v>
      </c>
      <c r="C61">
        <v>26</v>
      </c>
      <c r="D61">
        <v>27</v>
      </c>
      <c r="E61">
        <v>27</v>
      </c>
      <c r="F61">
        <v>29</v>
      </c>
      <c r="G61">
        <v>35</v>
      </c>
      <c r="H61">
        <v>44</v>
      </c>
      <c r="I61">
        <v>40</v>
      </c>
      <c r="J61">
        <v>82</v>
      </c>
      <c r="K61">
        <v>4631</v>
      </c>
    </row>
    <row r="62" spans="1:11" x14ac:dyDescent="0.25">
      <c r="A62">
        <v>61</v>
      </c>
      <c r="C62">
        <v>26</v>
      </c>
      <c r="D62">
        <v>28</v>
      </c>
      <c r="E62">
        <v>28</v>
      </c>
      <c r="F62">
        <v>29</v>
      </c>
      <c r="G62">
        <v>30</v>
      </c>
      <c r="H62">
        <v>34</v>
      </c>
      <c r="I62">
        <v>39</v>
      </c>
      <c r="J62">
        <v>82</v>
      </c>
      <c r="K62">
        <v>4727</v>
      </c>
    </row>
    <row r="63" spans="1:11" x14ac:dyDescent="0.25">
      <c r="A63">
        <v>62</v>
      </c>
      <c r="C63">
        <v>26</v>
      </c>
      <c r="D63">
        <v>28</v>
      </c>
      <c r="E63">
        <v>28</v>
      </c>
      <c r="F63">
        <v>29</v>
      </c>
      <c r="G63">
        <v>29</v>
      </c>
      <c r="H63">
        <v>34</v>
      </c>
      <c r="I63">
        <v>39</v>
      </c>
      <c r="J63">
        <v>86</v>
      </c>
      <c r="K63">
        <v>2526</v>
      </c>
    </row>
    <row r="64" spans="1:11" x14ac:dyDescent="0.25">
      <c r="A64">
        <v>63</v>
      </c>
      <c r="C64">
        <v>26</v>
      </c>
      <c r="D64">
        <v>28</v>
      </c>
      <c r="E64">
        <v>28</v>
      </c>
      <c r="F64">
        <v>28</v>
      </c>
      <c r="G64">
        <v>30</v>
      </c>
      <c r="H64">
        <v>44</v>
      </c>
      <c r="I64">
        <v>39</v>
      </c>
      <c r="J64">
        <v>87</v>
      </c>
      <c r="K64">
        <v>2371</v>
      </c>
    </row>
    <row r="65" spans="1:27" x14ac:dyDescent="0.25">
      <c r="A65">
        <v>64</v>
      </c>
      <c r="C65">
        <v>26</v>
      </c>
      <c r="D65">
        <v>28</v>
      </c>
      <c r="E65">
        <v>27</v>
      </c>
      <c r="F65">
        <v>28</v>
      </c>
      <c r="G65">
        <v>30</v>
      </c>
      <c r="H65">
        <v>33</v>
      </c>
      <c r="I65">
        <v>39</v>
      </c>
      <c r="J65">
        <v>86</v>
      </c>
      <c r="K65">
        <v>2294</v>
      </c>
    </row>
    <row r="66" spans="1:27" x14ac:dyDescent="0.25">
      <c r="A66">
        <v>65</v>
      </c>
      <c r="C66">
        <v>26</v>
      </c>
      <c r="D66">
        <v>26</v>
      </c>
      <c r="E66">
        <v>27</v>
      </c>
      <c r="F66">
        <v>27</v>
      </c>
      <c r="G66">
        <v>29</v>
      </c>
      <c r="H66">
        <v>34</v>
      </c>
      <c r="I66">
        <v>38</v>
      </c>
      <c r="J66">
        <v>85</v>
      </c>
      <c r="K66">
        <v>1685</v>
      </c>
      <c r="AA66">
        <v>21</v>
      </c>
    </row>
    <row r="67" spans="1:27" x14ac:dyDescent="0.25">
      <c r="C67">
        <f>_xlfn.CEILING.MATH(AVERAGE(C2:C66),0.25)</f>
        <v>26</v>
      </c>
      <c r="D67">
        <f t="shared" ref="D67:K67" si="2">_xlfn.CEILING.MATH(AVERAGE(D2:D66),0.25)</f>
        <v>27.25</v>
      </c>
      <c r="E67">
        <f t="shared" si="2"/>
        <v>27.25</v>
      </c>
      <c r="F67">
        <f t="shared" si="2"/>
        <v>28</v>
      </c>
      <c r="G67">
        <f t="shared" si="2"/>
        <v>29.25</v>
      </c>
      <c r="H67">
        <f t="shared" si="2"/>
        <v>33.75</v>
      </c>
      <c r="I67">
        <f t="shared" si="2"/>
        <v>38.75</v>
      </c>
      <c r="J67">
        <f t="shared" si="2"/>
        <v>54</v>
      </c>
      <c r="K67">
        <f t="shared" si="2"/>
        <v>2368.75</v>
      </c>
      <c r="AA67">
        <v>21</v>
      </c>
    </row>
    <row r="68" spans="1:27" x14ac:dyDescent="0.25">
      <c r="C68" t="str">
        <f>C1</f>
        <v>FP</v>
      </c>
      <c r="D68" t="str">
        <f t="shared" ref="D68:J68" si="3">D1</f>
        <v>HS33</v>
      </c>
      <c r="E68" t="str">
        <f t="shared" si="3"/>
        <v>HS22</v>
      </c>
      <c r="F68" t="str">
        <f t="shared" si="3"/>
        <v>HS11</v>
      </c>
      <c r="G68" t="str">
        <f t="shared" si="3"/>
        <v>HS6</v>
      </c>
      <c r="H68" t="str">
        <f t="shared" si="3"/>
        <v>HS3</v>
      </c>
      <c r="I68" t="str">
        <f t="shared" si="3"/>
        <v>HS2</v>
      </c>
      <c r="J68" t="str">
        <f t="shared" si="3"/>
        <v>HS1</v>
      </c>
      <c r="AA68">
        <v>22</v>
      </c>
    </row>
    <row r="69" spans="1:27" x14ac:dyDescent="0.25">
      <c r="AA69">
        <v>21</v>
      </c>
    </row>
    <row r="70" spans="1:27" x14ac:dyDescent="0.25">
      <c r="AA70">
        <v>22</v>
      </c>
    </row>
    <row r="71" spans="1:27" x14ac:dyDescent="0.25">
      <c r="AA71">
        <v>24</v>
      </c>
    </row>
    <row r="72" spans="1:27" x14ac:dyDescent="0.25">
      <c r="AA72">
        <v>22</v>
      </c>
    </row>
    <row r="73" spans="1:27" x14ac:dyDescent="0.25">
      <c r="AA73">
        <v>22</v>
      </c>
    </row>
    <row r="74" spans="1:27" x14ac:dyDescent="0.25">
      <c r="AA74">
        <v>21</v>
      </c>
    </row>
    <row r="75" spans="1:27" x14ac:dyDescent="0.25">
      <c r="AA75">
        <v>22</v>
      </c>
    </row>
    <row r="76" spans="1:27" x14ac:dyDescent="0.25">
      <c r="AA76">
        <v>24</v>
      </c>
    </row>
    <row r="77" spans="1:27" x14ac:dyDescent="0.25">
      <c r="AA77">
        <v>24</v>
      </c>
    </row>
    <row r="78" spans="1:27" x14ac:dyDescent="0.25">
      <c r="AA78">
        <v>22</v>
      </c>
    </row>
    <row r="79" spans="1:27" x14ac:dyDescent="0.25">
      <c r="AA79">
        <v>22</v>
      </c>
    </row>
    <row r="80" spans="1:27" x14ac:dyDescent="0.25">
      <c r="AA80">
        <v>21</v>
      </c>
    </row>
    <row r="81" spans="12:27" x14ac:dyDescent="0.25">
      <c r="AA81">
        <v>21</v>
      </c>
    </row>
    <row r="82" spans="12:27" x14ac:dyDescent="0.25">
      <c r="AA82">
        <v>28</v>
      </c>
    </row>
    <row r="83" spans="12:27" x14ac:dyDescent="0.25">
      <c r="AA83">
        <v>33</v>
      </c>
    </row>
    <row r="84" spans="12:27" x14ac:dyDescent="0.25">
      <c r="L84">
        <v>0</v>
      </c>
      <c r="M84">
        <v>65</v>
      </c>
      <c r="AA84">
        <v>23</v>
      </c>
    </row>
    <row r="85" spans="12:27" x14ac:dyDescent="0.25">
      <c r="L85">
        <v>1</v>
      </c>
      <c r="M85">
        <v>64</v>
      </c>
      <c r="AA85">
        <v>21</v>
      </c>
    </row>
    <row r="86" spans="12:27" x14ac:dyDescent="0.25">
      <c r="L86">
        <v>2</v>
      </c>
      <c r="M86">
        <v>63</v>
      </c>
      <c r="AA86">
        <v>24</v>
      </c>
    </row>
    <row r="87" spans="12:27" x14ac:dyDescent="0.25">
      <c r="L87">
        <v>3</v>
      </c>
      <c r="M87">
        <v>62</v>
      </c>
      <c r="AA87">
        <v>25</v>
      </c>
    </row>
    <row r="88" spans="12:27" x14ac:dyDescent="0.25">
      <c r="L88">
        <v>4</v>
      </c>
      <c r="M88">
        <v>61</v>
      </c>
      <c r="AA88">
        <v>22</v>
      </c>
    </row>
    <row r="89" spans="12:27" x14ac:dyDescent="0.25">
      <c r="L89">
        <v>5</v>
      </c>
      <c r="M89">
        <v>60</v>
      </c>
      <c r="AA89">
        <v>22</v>
      </c>
    </row>
    <row r="90" spans="12:27" x14ac:dyDescent="0.25">
      <c r="L90">
        <v>6</v>
      </c>
      <c r="M90">
        <v>59</v>
      </c>
      <c r="AA90">
        <v>24</v>
      </c>
    </row>
    <row r="91" spans="12:27" x14ac:dyDescent="0.25">
      <c r="L91">
        <v>7</v>
      </c>
      <c r="M91">
        <v>58</v>
      </c>
    </row>
    <row r="92" spans="12:27" x14ac:dyDescent="0.25">
      <c r="L92">
        <v>8</v>
      </c>
      <c r="M92">
        <v>57</v>
      </c>
      <c r="AA92">
        <f>AVERAGE(AA66:AA90)</f>
        <v>22.96</v>
      </c>
    </row>
    <row r="93" spans="12:27" x14ac:dyDescent="0.25">
      <c r="L93">
        <v>9</v>
      </c>
      <c r="M93">
        <v>56</v>
      </c>
    </row>
    <row r="94" spans="12:27" x14ac:dyDescent="0.25">
      <c r="L94">
        <v>10</v>
      </c>
      <c r="M94">
        <v>55</v>
      </c>
    </row>
    <row r="95" spans="12:27" x14ac:dyDescent="0.25">
      <c r="L95">
        <v>11</v>
      </c>
      <c r="M95">
        <v>54</v>
      </c>
    </row>
    <row r="96" spans="12:27" x14ac:dyDescent="0.25">
      <c r="L96">
        <v>12</v>
      </c>
      <c r="M96">
        <v>53</v>
      </c>
    </row>
    <row r="97" spans="12:13" x14ac:dyDescent="0.25">
      <c r="L97">
        <v>13</v>
      </c>
      <c r="M97">
        <v>52</v>
      </c>
    </row>
    <row r="98" spans="12:13" x14ac:dyDescent="0.25">
      <c r="L98">
        <v>14</v>
      </c>
      <c r="M98">
        <v>51</v>
      </c>
    </row>
    <row r="99" spans="12:13" x14ac:dyDescent="0.25">
      <c r="L99">
        <v>15</v>
      </c>
      <c r="M99">
        <v>50</v>
      </c>
    </row>
    <row r="100" spans="12:13" x14ac:dyDescent="0.25">
      <c r="L100">
        <v>16</v>
      </c>
      <c r="M100">
        <v>49</v>
      </c>
    </row>
    <row r="101" spans="12:13" x14ac:dyDescent="0.25">
      <c r="L101">
        <v>17</v>
      </c>
      <c r="M101">
        <v>48</v>
      </c>
    </row>
    <row r="102" spans="12:13" x14ac:dyDescent="0.25">
      <c r="L102">
        <v>18</v>
      </c>
      <c r="M102">
        <v>47</v>
      </c>
    </row>
    <row r="103" spans="12:13" x14ac:dyDescent="0.25">
      <c r="L103">
        <v>19</v>
      </c>
      <c r="M103">
        <v>46</v>
      </c>
    </row>
    <row r="104" spans="12:13" x14ac:dyDescent="0.25">
      <c r="L104">
        <v>20</v>
      </c>
      <c r="M104">
        <v>45</v>
      </c>
    </row>
    <row r="105" spans="12:13" x14ac:dyDescent="0.25">
      <c r="L105">
        <v>21</v>
      </c>
      <c r="M105">
        <v>44</v>
      </c>
    </row>
    <row r="106" spans="12:13" x14ac:dyDescent="0.25">
      <c r="L106">
        <v>22</v>
      </c>
      <c r="M106">
        <v>43</v>
      </c>
    </row>
    <row r="107" spans="12:13" x14ac:dyDescent="0.25">
      <c r="L107">
        <v>23</v>
      </c>
      <c r="M107">
        <v>42</v>
      </c>
    </row>
    <row r="108" spans="12:13" x14ac:dyDescent="0.25">
      <c r="L108">
        <v>24</v>
      </c>
      <c r="M108">
        <v>41</v>
      </c>
    </row>
    <row r="109" spans="12:13" x14ac:dyDescent="0.25">
      <c r="L109">
        <v>25</v>
      </c>
      <c r="M109">
        <v>40</v>
      </c>
    </row>
    <row r="110" spans="12:13" x14ac:dyDescent="0.25">
      <c r="L110">
        <v>26</v>
      </c>
      <c r="M110">
        <v>39</v>
      </c>
    </row>
    <row r="111" spans="12:13" x14ac:dyDescent="0.25">
      <c r="L111">
        <v>27</v>
      </c>
      <c r="M111">
        <v>38</v>
      </c>
    </row>
    <row r="112" spans="12:13" x14ac:dyDescent="0.25">
      <c r="L112">
        <v>28</v>
      </c>
      <c r="M112">
        <v>37</v>
      </c>
    </row>
    <row r="113" spans="12:13" x14ac:dyDescent="0.25">
      <c r="L113">
        <v>29</v>
      </c>
      <c r="M113">
        <v>36</v>
      </c>
    </row>
    <row r="114" spans="12:13" x14ac:dyDescent="0.25">
      <c r="L114">
        <v>30</v>
      </c>
      <c r="M114">
        <v>35</v>
      </c>
    </row>
    <row r="115" spans="12:13" x14ac:dyDescent="0.25">
      <c r="L115">
        <v>31</v>
      </c>
      <c r="M115">
        <v>34</v>
      </c>
    </row>
    <row r="116" spans="12:13" x14ac:dyDescent="0.25">
      <c r="L116">
        <v>32</v>
      </c>
      <c r="M116">
        <v>33</v>
      </c>
    </row>
  </sheetData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13D10-85E6-42F7-80EE-B4D961CC796A}">
  <dimension ref="A1:T66"/>
  <sheetViews>
    <sheetView zoomScale="130" zoomScaleNormal="130" workbookViewId="0">
      <selection activeCell="P15" sqref="P15"/>
    </sheetView>
  </sheetViews>
  <sheetFormatPr defaultRowHeight="15" x14ac:dyDescent="0.25"/>
  <sheetData>
    <row r="1" spans="1:20" x14ac:dyDescent="0.25">
      <c r="A1" t="s">
        <v>981</v>
      </c>
      <c r="B1" t="s">
        <v>1006</v>
      </c>
      <c r="D1" t="s">
        <v>981</v>
      </c>
      <c r="E1" t="s">
        <v>1005</v>
      </c>
      <c r="J1" t="s">
        <v>981</v>
      </c>
      <c r="L1" t="s">
        <v>1004</v>
      </c>
      <c r="M1" t="s">
        <v>990</v>
      </c>
      <c r="N1" t="s">
        <v>989</v>
      </c>
      <c r="O1" t="s">
        <v>988</v>
      </c>
      <c r="P1" t="s">
        <v>983</v>
      </c>
      <c r="Q1" t="s">
        <v>984</v>
      </c>
      <c r="R1" t="s">
        <v>987</v>
      </c>
      <c r="S1" t="s">
        <v>986</v>
      </c>
      <c r="T1" t="s">
        <v>993</v>
      </c>
    </row>
    <row r="2" spans="1:20" x14ac:dyDescent="0.25">
      <c r="A2">
        <v>1</v>
      </c>
      <c r="B2">
        <v>33</v>
      </c>
      <c r="D2">
        <v>3</v>
      </c>
      <c r="E2">
        <v>24</v>
      </c>
      <c r="J2">
        <v>1</v>
      </c>
      <c r="L2">
        <v>26</v>
      </c>
      <c r="M2">
        <v>26</v>
      </c>
      <c r="N2">
        <v>26</v>
      </c>
      <c r="O2">
        <v>28</v>
      </c>
      <c r="P2">
        <v>28</v>
      </c>
      <c r="Q2">
        <v>33</v>
      </c>
      <c r="R2">
        <v>39</v>
      </c>
      <c r="S2">
        <v>21</v>
      </c>
      <c r="T2">
        <v>69</v>
      </c>
    </row>
    <row r="3" spans="1:20" x14ac:dyDescent="0.25">
      <c r="A3">
        <v>2</v>
      </c>
      <c r="B3">
        <v>32</v>
      </c>
      <c r="D3">
        <v>6</v>
      </c>
      <c r="E3">
        <v>25</v>
      </c>
      <c r="J3">
        <v>2</v>
      </c>
      <c r="L3">
        <v>26</v>
      </c>
      <c r="M3">
        <v>26</v>
      </c>
      <c r="N3">
        <v>26</v>
      </c>
      <c r="O3">
        <v>28</v>
      </c>
      <c r="P3">
        <v>29</v>
      </c>
      <c r="Q3">
        <v>32</v>
      </c>
      <c r="R3">
        <v>38</v>
      </c>
      <c r="S3">
        <v>23</v>
      </c>
      <c r="T3">
        <v>105</v>
      </c>
    </row>
    <row r="4" spans="1:20" x14ac:dyDescent="0.25">
      <c r="D4">
        <v>9</v>
      </c>
      <c r="E4">
        <v>26</v>
      </c>
      <c r="J4">
        <v>3</v>
      </c>
      <c r="L4">
        <v>26</v>
      </c>
      <c r="M4">
        <v>27</v>
      </c>
      <c r="N4">
        <v>27</v>
      </c>
      <c r="O4">
        <v>28</v>
      </c>
      <c r="P4">
        <v>28</v>
      </c>
      <c r="Q4">
        <v>24</v>
      </c>
      <c r="R4">
        <v>39</v>
      </c>
      <c r="S4">
        <v>23</v>
      </c>
      <c r="T4">
        <v>184</v>
      </c>
    </row>
    <row r="5" spans="1:20" x14ac:dyDescent="0.25">
      <c r="A5">
        <v>4</v>
      </c>
      <c r="B5">
        <v>34</v>
      </c>
      <c r="D5">
        <v>12</v>
      </c>
      <c r="E5">
        <v>26</v>
      </c>
      <c r="J5">
        <v>4</v>
      </c>
      <c r="L5">
        <v>26</v>
      </c>
      <c r="M5">
        <v>27</v>
      </c>
      <c r="N5">
        <v>27</v>
      </c>
      <c r="O5">
        <v>28</v>
      </c>
      <c r="P5">
        <v>30</v>
      </c>
      <c r="Q5">
        <v>34</v>
      </c>
      <c r="R5">
        <v>38</v>
      </c>
      <c r="S5">
        <v>24</v>
      </c>
      <c r="T5">
        <v>255</v>
      </c>
    </row>
    <row r="6" spans="1:20" x14ac:dyDescent="0.25">
      <c r="A6">
        <v>5</v>
      </c>
      <c r="B6">
        <v>33</v>
      </c>
      <c r="D6">
        <v>15</v>
      </c>
      <c r="E6">
        <v>28</v>
      </c>
      <c r="J6">
        <v>5</v>
      </c>
      <c r="L6">
        <v>27</v>
      </c>
      <c r="M6">
        <v>27</v>
      </c>
      <c r="N6">
        <v>27</v>
      </c>
      <c r="O6">
        <v>28</v>
      </c>
      <c r="P6">
        <v>29</v>
      </c>
      <c r="Q6">
        <v>33</v>
      </c>
      <c r="R6">
        <v>39</v>
      </c>
      <c r="S6">
        <v>26</v>
      </c>
      <c r="T6">
        <v>343</v>
      </c>
    </row>
    <row r="7" spans="1:20" x14ac:dyDescent="0.25">
      <c r="D7">
        <v>18</v>
      </c>
      <c r="E7">
        <v>30</v>
      </c>
      <c r="J7">
        <v>6</v>
      </c>
      <c r="L7">
        <v>26</v>
      </c>
      <c r="M7">
        <v>27</v>
      </c>
      <c r="N7">
        <v>27</v>
      </c>
      <c r="O7">
        <v>28</v>
      </c>
      <c r="P7">
        <v>24</v>
      </c>
      <c r="Q7">
        <v>25</v>
      </c>
      <c r="R7">
        <v>37</v>
      </c>
      <c r="S7">
        <v>27</v>
      </c>
      <c r="T7">
        <v>428</v>
      </c>
    </row>
    <row r="8" spans="1:20" x14ac:dyDescent="0.25">
      <c r="A8">
        <v>7</v>
      </c>
      <c r="B8">
        <v>32</v>
      </c>
      <c r="D8">
        <v>21</v>
      </c>
      <c r="E8">
        <v>29</v>
      </c>
      <c r="J8">
        <v>7</v>
      </c>
      <c r="L8">
        <v>26</v>
      </c>
      <c r="M8">
        <v>27</v>
      </c>
      <c r="N8">
        <v>27</v>
      </c>
      <c r="O8">
        <v>28</v>
      </c>
      <c r="P8">
        <v>30</v>
      </c>
      <c r="Q8">
        <v>32</v>
      </c>
      <c r="R8">
        <v>39</v>
      </c>
      <c r="S8">
        <v>28</v>
      </c>
      <c r="T8">
        <v>487</v>
      </c>
    </row>
    <row r="9" spans="1:20" x14ac:dyDescent="0.25">
      <c r="A9">
        <v>8</v>
      </c>
      <c r="B9">
        <v>33</v>
      </c>
      <c r="D9">
        <v>24</v>
      </c>
      <c r="E9">
        <v>31</v>
      </c>
      <c r="J9">
        <v>8</v>
      </c>
      <c r="L9">
        <v>26</v>
      </c>
      <c r="M9">
        <v>27</v>
      </c>
      <c r="N9">
        <v>27</v>
      </c>
      <c r="O9">
        <v>28</v>
      </c>
      <c r="P9">
        <v>29</v>
      </c>
      <c r="Q9">
        <v>33</v>
      </c>
      <c r="R9">
        <v>40</v>
      </c>
      <c r="S9">
        <v>29</v>
      </c>
      <c r="T9">
        <v>558</v>
      </c>
    </row>
    <row r="10" spans="1:20" x14ac:dyDescent="0.25">
      <c r="D10">
        <v>27</v>
      </c>
      <c r="E10">
        <v>32</v>
      </c>
      <c r="J10">
        <v>9</v>
      </c>
      <c r="L10">
        <v>26</v>
      </c>
      <c r="M10">
        <v>26</v>
      </c>
      <c r="N10">
        <v>27</v>
      </c>
      <c r="O10">
        <v>27</v>
      </c>
      <c r="P10">
        <v>29</v>
      </c>
      <c r="Q10">
        <v>26</v>
      </c>
      <c r="R10">
        <v>36</v>
      </c>
      <c r="S10">
        <v>30</v>
      </c>
      <c r="T10">
        <v>635</v>
      </c>
    </row>
    <row r="11" spans="1:20" x14ac:dyDescent="0.25">
      <c r="A11">
        <v>10</v>
      </c>
      <c r="B11">
        <v>33</v>
      </c>
      <c r="D11">
        <v>30</v>
      </c>
      <c r="E11">
        <v>33</v>
      </c>
      <c r="J11">
        <v>10</v>
      </c>
      <c r="L11">
        <v>26</v>
      </c>
      <c r="M11">
        <v>27</v>
      </c>
      <c r="N11">
        <v>27</v>
      </c>
      <c r="O11">
        <v>28</v>
      </c>
      <c r="P11">
        <v>29</v>
      </c>
      <c r="Q11">
        <v>33</v>
      </c>
      <c r="R11">
        <v>38</v>
      </c>
      <c r="S11">
        <v>31</v>
      </c>
      <c r="T11">
        <v>738</v>
      </c>
    </row>
    <row r="12" spans="1:20" x14ac:dyDescent="0.25">
      <c r="A12">
        <v>11</v>
      </c>
      <c r="B12">
        <v>33</v>
      </c>
      <c r="D12">
        <v>33</v>
      </c>
      <c r="E12">
        <v>34</v>
      </c>
      <c r="J12">
        <v>11</v>
      </c>
      <c r="L12">
        <v>26</v>
      </c>
      <c r="M12">
        <v>26</v>
      </c>
      <c r="N12">
        <v>27</v>
      </c>
      <c r="O12">
        <v>26</v>
      </c>
      <c r="P12">
        <v>30</v>
      </c>
      <c r="Q12">
        <v>33</v>
      </c>
      <c r="R12">
        <v>39</v>
      </c>
      <c r="S12">
        <v>32</v>
      </c>
      <c r="T12">
        <v>798</v>
      </c>
    </row>
    <row r="13" spans="1:20" x14ac:dyDescent="0.25">
      <c r="D13">
        <v>36</v>
      </c>
      <c r="E13">
        <v>36</v>
      </c>
    </row>
    <row r="14" spans="1:20" x14ac:dyDescent="0.25">
      <c r="A14">
        <v>13</v>
      </c>
      <c r="B14">
        <v>33</v>
      </c>
      <c r="D14">
        <v>39</v>
      </c>
      <c r="E14">
        <v>37</v>
      </c>
    </row>
    <row r="15" spans="1:20" x14ac:dyDescent="0.25">
      <c r="A15">
        <v>14</v>
      </c>
      <c r="B15">
        <v>33</v>
      </c>
      <c r="D15">
        <v>42</v>
      </c>
      <c r="E15">
        <v>38</v>
      </c>
    </row>
    <row r="16" spans="1:20" x14ac:dyDescent="0.25">
      <c r="D16">
        <v>45</v>
      </c>
      <c r="E16">
        <v>38</v>
      </c>
    </row>
    <row r="17" spans="1:5" x14ac:dyDescent="0.25">
      <c r="A17">
        <v>16</v>
      </c>
      <c r="B17">
        <v>34</v>
      </c>
      <c r="D17">
        <v>48</v>
      </c>
      <c r="E17">
        <v>40</v>
      </c>
    </row>
    <row r="18" spans="1:5" x14ac:dyDescent="0.25">
      <c r="A18">
        <v>17</v>
      </c>
      <c r="B18">
        <v>33</v>
      </c>
      <c r="D18">
        <v>51</v>
      </c>
      <c r="E18">
        <v>40</v>
      </c>
    </row>
    <row r="19" spans="1:5" x14ac:dyDescent="0.25">
      <c r="D19">
        <v>54</v>
      </c>
      <c r="E19">
        <v>41</v>
      </c>
    </row>
    <row r="20" spans="1:5" x14ac:dyDescent="0.25">
      <c r="A20">
        <v>19</v>
      </c>
      <c r="B20">
        <v>34</v>
      </c>
      <c r="D20">
        <v>57</v>
      </c>
      <c r="E20">
        <v>42</v>
      </c>
    </row>
    <row r="21" spans="1:5" x14ac:dyDescent="0.25">
      <c r="A21">
        <v>20</v>
      </c>
      <c r="B21">
        <v>33</v>
      </c>
      <c r="D21">
        <v>60</v>
      </c>
      <c r="E21">
        <v>44</v>
      </c>
    </row>
    <row r="22" spans="1:5" x14ac:dyDescent="0.25">
      <c r="D22">
        <v>63</v>
      </c>
      <c r="E22">
        <v>44</v>
      </c>
    </row>
    <row r="23" spans="1:5" x14ac:dyDescent="0.25">
      <c r="A23">
        <v>22</v>
      </c>
      <c r="B23">
        <v>32</v>
      </c>
    </row>
    <row r="24" spans="1:5" x14ac:dyDescent="0.25">
      <c r="A24">
        <v>23</v>
      </c>
      <c r="B24">
        <v>32</v>
      </c>
    </row>
    <row r="26" spans="1:5" x14ac:dyDescent="0.25">
      <c r="A26">
        <v>25</v>
      </c>
      <c r="B26">
        <v>34</v>
      </c>
    </row>
    <row r="27" spans="1:5" x14ac:dyDescent="0.25">
      <c r="A27">
        <v>26</v>
      </c>
      <c r="B27">
        <v>33</v>
      </c>
    </row>
    <row r="29" spans="1:5" x14ac:dyDescent="0.25">
      <c r="A29">
        <v>28</v>
      </c>
      <c r="B29">
        <v>35</v>
      </c>
    </row>
    <row r="30" spans="1:5" x14ac:dyDescent="0.25">
      <c r="A30">
        <v>29</v>
      </c>
      <c r="B30">
        <v>34</v>
      </c>
    </row>
    <row r="32" spans="1:5" x14ac:dyDescent="0.25">
      <c r="A32">
        <v>31</v>
      </c>
      <c r="B32">
        <v>33</v>
      </c>
    </row>
    <row r="33" spans="1:2" x14ac:dyDescent="0.25">
      <c r="A33">
        <v>32</v>
      </c>
      <c r="B33">
        <v>34</v>
      </c>
    </row>
    <row r="35" spans="1:2" x14ac:dyDescent="0.25">
      <c r="A35">
        <v>34</v>
      </c>
      <c r="B35">
        <v>35</v>
      </c>
    </row>
    <row r="36" spans="1:2" x14ac:dyDescent="0.25">
      <c r="A36">
        <v>35</v>
      </c>
      <c r="B36">
        <v>34</v>
      </c>
    </row>
    <row r="38" spans="1:2" x14ac:dyDescent="0.25">
      <c r="A38">
        <v>37</v>
      </c>
      <c r="B38">
        <v>33</v>
      </c>
    </row>
    <row r="39" spans="1:2" x14ac:dyDescent="0.25">
      <c r="A39">
        <v>38</v>
      </c>
      <c r="B39">
        <v>33</v>
      </c>
    </row>
    <row r="41" spans="1:2" x14ac:dyDescent="0.25">
      <c r="A41">
        <v>40</v>
      </c>
      <c r="B41">
        <v>32</v>
      </c>
    </row>
    <row r="42" spans="1:2" x14ac:dyDescent="0.25">
      <c r="A42">
        <v>41</v>
      </c>
      <c r="B42">
        <v>35</v>
      </c>
    </row>
    <row r="44" spans="1:2" x14ac:dyDescent="0.25">
      <c r="A44">
        <v>43</v>
      </c>
      <c r="B44">
        <v>34</v>
      </c>
    </row>
    <row r="45" spans="1:2" x14ac:dyDescent="0.25">
      <c r="A45">
        <v>44</v>
      </c>
      <c r="B45">
        <v>34</v>
      </c>
    </row>
    <row r="47" spans="1:2" x14ac:dyDescent="0.25">
      <c r="A47">
        <v>46</v>
      </c>
      <c r="B47">
        <v>33</v>
      </c>
    </row>
    <row r="48" spans="1:2" x14ac:dyDescent="0.25">
      <c r="A48">
        <v>47</v>
      </c>
      <c r="B48">
        <v>33</v>
      </c>
    </row>
    <row r="50" spans="1:2" x14ac:dyDescent="0.25">
      <c r="A50">
        <v>49</v>
      </c>
      <c r="B50">
        <v>33</v>
      </c>
    </row>
    <row r="51" spans="1:2" x14ac:dyDescent="0.25">
      <c r="A51">
        <v>50</v>
      </c>
      <c r="B51">
        <v>34</v>
      </c>
    </row>
    <row r="53" spans="1:2" x14ac:dyDescent="0.25">
      <c r="A53">
        <v>52</v>
      </c>
      <c r="B53">
        <v>34</v>
      </c>
    </row>
    <row r="54" spans="1:2" x14ac:dyDescent="0.25">
      <c r="A54">
        <v>53</v>
      </c>
      <c r="B54">
        <v>33</v>
      </c>
    </row>
    <row r="56" spans="1:2" x14ac:dyDescent="0.25">
      <c r="A56">
        <v>55</v>
      </c>
      <c r="B56">
        <v>35</v>
      </c>
    </row>
    <row r="57" spans="1:2" x14ac:dyDescent="0.25">
      <c r="A57">
        <v>56</v>
      </c>
      <c r="B57">
        <v>34</v>
      </c>
    </row>
    <row r="59" spans="1:2" x14ac:dyDescent="0.25">
      <c r="A59">
        <v>58</v>
      </c>
      <c r="B59">
        <v>33</v>
      </c>
    </row>
    <row r="60" spans="1:2" x14ac:dyDescent="0.25">
      <c r="A60">
        <v>59</v>
      </c>
      <c r="B60">
        <v>33</v>
      </c>
    </row>
    <row r="62" spans="1:2" x14ac:dyDescent="0.25">
      <c r="A62">
        <v>61</v>
      </c>
      <c r="B62">
        <v>34</v>
      </c>
    </row>
    <row r="63" spans="1:2" x14ac:dyDescent="0.25">
      <c r="A63">
        <v>62</v>
      </c>
      <c r="B63">
        <v>34</v>
      </c>
    </row>
    <row r="65" spans="1:2" x14ac:dyDescent="0.25">
      <c r="A65">
        <v>64</v>
      </c>
      <c r="B65">
        <v>33</v>
      </c>
    </row>
    <row r="66" spans="1:2" x14ac:dyDescent="0.25">
      <c r="A66">
        <v>65</v>
      </c>
      <c r="B66">
        <v>34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Sheet2</vt:lpstr>
      <vt:lpstr>Original System</vt:lpstr>
      <vt:lpstr>Gbox Slips</vt:lpstr>
      <vt:lpstr>Fully Parallel</vt:lpstr>
      <vt:lpstr>Resource Utilization</vt:lpstr>
      <vt:lpstr>parallel vs header-seeker-6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Anatoliy</cp:lastModifiedBy>
  <dcterms:created xsi:type="dcterms:W3CDTF">2022-03-03T18:49:30Z</dcterms:created>
  <dcterms:modified xsi:type="dcterms:W3CDTF">2022-06-08T17:02:24Z</dcterms:modified>
</cp:coreProperties>
</file>
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8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8.xml" ContentType="application/vnd.openxmlformats-officedocument.drawing+xml"/>
  <Override PartName="/xl/charts/chart39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toliy\Documents\GitHub\YARR-rx-recovery\docs\"/>
    </mc:Choice>
  </mc:AlternateContent>
  <xr:revisionPtr revIDLastSave="0" documentId="13_ncr:1_{20F04C45-2452-4BF2-AEE9-CC1BE2C2BDFE}" xr6:coauthVersionLast="47" xr6:coauthVersionMax="47" xr10:uidLastSave="{00000000-0000-0000-0000-000000000000}"/>
  <bookViews>
    <workbookView xWindow="-120" yWindow="-120" windowWidth="29040" windowHeight="15840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  <sheet name="Sheet3" sheetId="10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4" i="9" l="1"/>
  <c r="AA4" i="9"/>
  <c r="AB4" i="9"/>
  <c r="AC4" i="9"/>
  <c r="AD4" i="9"/>
  <c r="AE4" i="9"/>
  <c r="AF4" i="9"/>
  <c r="D67" i="9"/>
  <c r="E67" i="9"/>
  <c r="F67" i="9"/>
  <c r="G67" i="9"/>
  <c r="H67" i="9"/>
  <c r="I67" i="9"/>
  <c r="J67" i="9"/>
  <c r="K67" i="9"/>
  <c r="C67" i="9"/>
  <c r="AA92" i="9"/>
  <c r="AG21" i="9"/>
  <c r="AG22" i="9"/>
  <c r="Z22" i="9"/>
  <c r="AA22" i="9"/>
  <c r="AB22" i="9"/>
  <c r="AC22" i="9"/>
  <c r="AD22" i="9"/>
  <c r="AE22" i="9"/>
  <c r="AF22" i="9"/>
  <c r="Y22" i="9"/>
  <c r="Q22" i="9"/>
  <c r="N23" i="9"/>
  <c r="N22" i="9"/>
  <c r="O23" i="9"/>
  <c r="O22" i="9"/>
  <c r="P23" i="9"/>
  <c r="P22" i="9"/>
  <c r="Q23" i="9"/>
  <c r="R23" i="9"/>
  <c r="R22" i="9"/>
  <c r="S23" i="9"/>
  <c r="S22" i="9"/>
  <c r="T23" i="9"/>
  <c r="T22" i="9"/>
  <c r="U23" i="9"/>
  <c r="U22" i="9"/>
  <c r="D68" i="9"/>
  <c r="E68" i="9"/>
  <c r="F68" i="9"/>
  <c r="G68" i="9"/>
  <c r="H68" i="9"/>
  <c r="I68" i="9"/>
  <c r="J68" i="9"/>
  <c r="C68" i="9"/>
  <c r="H67" i="3"/>
  <c r="G68" i="3"/>
  <c r="G67" i="3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<sst xmlns="http://schemas.openxmlformats.org/spreadsheetml/2006/main" count="5292" uniqueCount="1007">
  <si>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</si>
  <si>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</si>
  <si>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</si>
  <si>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</si>
  <si>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</si>
  <si>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</si>
  <si>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</si>
  <si>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</si>
  <si>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</si>
  <si>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</si>
  <si>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</si>
  <si>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</si>
  <si>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</si>
  <si>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</si>
  <si>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</si>
  <si>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</si>
  <si>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</si>
  <si>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</si>
  <si>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</si>
  <si>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</si>
  <si>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</si>
  <si>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</si>
  <si>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</si>
  <si>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</si>
  <si>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</si>
  <si>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</si>
  <si>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</si>
  <si>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</si>
  <si>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</si>
  <si>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</si>
  <si>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</si>
  <si>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</si>
  <si>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</si>
  <si>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</si>
  <si>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</si>
  <si>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</si>
  <si>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</si>
  <si>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</si>
  <si>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</si>
  <si>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</si>
  <si>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</si>
  <si>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</si>
  <si>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</si>
  <si>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</si>
  <si>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</si>
  <si>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</si>
  <si>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</si>
  <si>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</si>
  <si>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</si>
  <si>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</si>
  <si>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</si>
  <si>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</si>
  <si>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</si>
  <si>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</si>
  <si>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</si>
  <si>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</si>
  <si>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</si>
  <si>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</si>
  <si>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</si>
  <si>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</si>
  <si>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</si>
  <si>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</si>
  <si>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</si>
  <si>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</si>
  <si>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</si>
  <si>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</si>
  <si>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</si>
  <si>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</si>
  <si>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</si>
  <si>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</si>
  <si>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</si>
  <si>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</si>
  <si>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</si>
  <si>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</si>
  <si>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</si>
  <si>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</si>
  <si>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</si>
  <si>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</si>
  <si>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</si>
  <si>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</si>
  <si>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</si>
  <si>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</si>
  <si>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</si>
  <si>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</si>
  <si>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</si>
  <si>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</si>
  <si>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</si>
  <si>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</si>
  <si>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</si>
  <si>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</si>
  <si>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</si>
  <si>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</si>
  <si>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</si>
  <si>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</si>
  <si>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</si>
  <si>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</si>
  <si>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</si>
  <si>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</si>
  <si>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</si>
  <si>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</si>
  <si>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</si>
  <si>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</si>
  <si>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</si>
  <si>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</si>
  <si>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</si>
  <si>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</si>
  <si>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</si>
  <si>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</si>
  <si>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</si>
  <si>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</si>
  <si>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</si>
  <si>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</si>
  <si>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</si>
  <si>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</si>
  <si>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</si>
  <si>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</si>
  <si>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</si>
  <si>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</si>
  <si>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</si>
  <si>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</si>
  <si>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</si>
  <si>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</si>
  <si>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</si>
  <si>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</si>
  <si>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</si>
  <si>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</si>
  <si>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</si>
  <si>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</si>
  <si>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</si>
  <si>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</si>
  <si>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</si>
  <si>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</si>
  <si>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</si>
  <si>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</si>
  <si>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</si>
  <si>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</si>
  <si>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</si>
  <si>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</si>
  <si>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</si>
  <si>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</si>
  <si>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</si>
  <si>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</si>
  <si>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</si>
  <si>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</si>
  <si>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</si>
  <si>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</si>
  <si>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</si>
  <si>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</si>
  <si>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</si>
  <si>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</si>
  <si>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</si>
  <si>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</si>
  <si>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</si>
  <si>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</si>
  <si>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</si>
  <si>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</si>
  <si>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</si>
  <si>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</si>
  <si>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</si>
  <si>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</si>
  <si>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</si>
  <si>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</si>
  <si>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</si>
  <si>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</si>
  <si>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</si>
  <si>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</si>
  <si>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</si>
  <si>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</si>
  <si>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</si>
  <si>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</si>
  <si>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</si>
  <si>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</si>
  <si>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</si>
  <si>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</si>
  <si>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</si>
  <si>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</si>
  <si>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</si>
  <si>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</si>
  <si>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</si>
  <si>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</si>
  <si>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</si>
  <si>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</si>
  <si>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</si>
  <si>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</si>
  <si>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</si>
  <si>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</si>
  <si>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</si>
  <si>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</si>
  <si>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</si>
  <si>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</si>
  <si>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</si>
  <si>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</si>
  <si>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</si>
  <si>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</si>
  <si>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</si>
  <si>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</si>
  <si>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</si>
  <si>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</si>
  <si>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</si>
  <si>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</si>
  <si>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</si>
  <si>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</si>
  <si>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</si>
  <si>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</si>
  <si>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</si>
  <si>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</si>
  <si>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</si>
  <si>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</si>
  <si>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</si>
  <si>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</si>
  <si>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</si>
  <si>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</si>
  <si>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</si>
  <si>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</si>
  <si>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</si>
  <si>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</si>
  <si>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</si>
  <si>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</si>
  <si>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</si>
  <si>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</si>
  <si>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</si>
  <si>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</si>
  <si>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</si>
  <si>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</si>
  <si>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</si>
  <si>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</si>
  <si>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</si>
  <si>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</si>
  <si>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</si>
  <si>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</si>
  <si>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</si>
  <si>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</si>
  <si>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</si>
  <si>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</si>
  <si>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</si>
  <si>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</si>
  <si>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</si>
  <si>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</si>
  <si>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</si>
  <si>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</si>
  <si>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</si>
  <si>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</si>
  <si>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</si>
  <si>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</si>
  <si>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</si>
  <si>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</si>
  <si>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</si>
  <si>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</si>
  <si>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</si>
  <si>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</si>
  <si>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</si>
  <si>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</si>
  <si>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</si>
  <si>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</si>
  <si>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</si>
  <si>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</si>
  <si>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</si>
  <si>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</si>
  <si>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</si>
  <si>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</si>
  <si>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</si>
  <si>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</si>
  <si>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</si>
  <si>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</si>
  <si>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</si>
  <si>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</si>
  <si>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</si>
  <si>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</si>
  <si>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</si>
  <si>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</si>
  <si>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</si>
  <si>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</si>
  <si>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</si>
  <si>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</si>
  <si>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</si>
  <si>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</si>
  <si>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</si>
  <si>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</si>
  <si>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</si>
  <si>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</si>
  <si>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</si>
  <si>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</si>
  <si>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</si>
  <si>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</si>
  <si>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</si>
  <si>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</si>
  <si>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</si>
  <si>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</si>
  <si>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</si>
  <si>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</si>
  <si>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</si>
  <si>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</si>
  <si>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</si>
  <si>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</si>
  <si>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</si>
  <si>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</si>
  <si>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</si>
  <si>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</si>
  <si>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</si>
  <si>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</si>
  <si>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</si>
  <si>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</si>
  <si>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</si>
  <si>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</si>
  <si>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</si>
  <si>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</si>
  <si>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</si>
  <si>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</si>
  <si>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</si>
  <si>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</si>
  <si>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</si>
  <si>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</si>
  <si>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</si>
  <si>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</si>
  <si>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</si>
  <si>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</si>
  <si>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</si>
  <si>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</si>
  <si>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</si>
  <si>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</si>
  <si>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</si>
  <si>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</si>
  <si>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</si>
  <si>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</si>
  <si>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</si>
  <si>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</si>
  <si>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</si>
  <si>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</si>
  <si>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</si>
  <si>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</si>
  <si>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</si>
  <si>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</si>
  <si>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</si>
  <si>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</si>
  <si>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</si>
  <si>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</si>
  <si>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</si>
  <si>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</si>
  <si>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</si>
  <si>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</si>
  <si>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</si>
  <si>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</si>
  <si>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</si>
  <si>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</si>
  <si>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</si>
  <si>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</si>
  <si>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</si>
  <si>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</si>
  <si>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</si>
  <si>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</si>
  <si>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</si>
  <si>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</si>
  <si>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</si>
  <si>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</si>
  <si>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</si>
  <si>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</si>
  <si>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</si>
  <si>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</si>
  <si>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</si>
  <si>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</si>
  <si>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</si>
  <si>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</si>
  <si>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</si>
  <si>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</si>
  <si>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</si>
  <si>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</si>
  <si>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</si>
  <si>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</si>
  <si>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</si>
  <si>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</si>
  <si>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</si>
  <si>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</si>
  <si>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</si>
  <si>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</si>
  <si>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</si>
  <si>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</si>
  <si>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</si>
  <si>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</si>
  <si>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</si>
  <si>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</si>
  <si>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</si>
  <si>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</si>
  <si>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</si>
  <si>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</si>
  <si>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</si>
  <si>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</si>
  <si>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</si>
  <si>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</si>
  <si>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</si>
  <si>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</si>
  <si>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</si>
  <si>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</si>
  <si>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</si>
  <si>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</si>
  <si>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</si>
  <si>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</si>
  <si>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</si>
  <si>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</si>
  <si>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</si>
  <si>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</si>
  <si>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</si>
  <si>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</si>
  <si>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</si>
  <si>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</si>
  <si>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</si>
  <si>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</si>
  <si>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</si>
  <si>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</si>
  <si>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</si>
  <si>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</si>
  <si>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</si>
  <si>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</si>
  <si>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</si>
  <si>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</si>
  <si>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</si>
  <si>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</si>
  <si>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</si>
  <si>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</si>
  <si>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</si>
  <si>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</si>
  <si>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</si>
  <si>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</si>
  <si>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</si>
  <si>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</si>
  <si>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</si>
  <si>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</si>
  <si>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</si>
  <si>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</si>
  <si>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</si>
  <si>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</si>
  <si>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</si>
  <si>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</si>
  <si>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</si>
  <si>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</si>
  <si>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</si>
  <si>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</si>
  <si>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</si>
  <si>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</si>
  <si>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</si>
  <si>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</si>
  <si>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</si>
  <si>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</si>
  <si>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</si>
  <si>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</si>
  <si>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</si>
  <si>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</si>
  <si>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</si>
  <si>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</si>
  <si>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</si>
  <si>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</si>
  <si>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</si>
  <si>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</si>
  <si>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</si>
  <si>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</si>
  <si>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</si>
  <si>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</si>
  <si>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</si>
  <si>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</si>
  <si>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</si>
  <si>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</si>
  <si>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</si>
  <si>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</si>
  <si>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</si>
  <si>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</si>
  <si>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</si>
  <si>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</si>
  <si>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</si>
  <si>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</si>
  <si>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</si>
  <si>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</si>
  <si>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</si>
  <si>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</si>
  <si>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</si>
  <si>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</si>
  <si>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</si>
  <si>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</si>
  <si>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</si>
  <si>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</si>
  <si>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</si>
  <si>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</si>
  <si>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</si>
  <si>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</si>
  <si>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</si>
  <si>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</si>
  <si>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</si>
  <si>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</si>
  <si>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</si>
  <si>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</si>
  <si>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</si>
  <si>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</si>
  <si>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</si>
  <si>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</si>
  <si>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</si>
  <si>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</si>
  <si>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</si>
  <si>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</si>
  <si>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</si>
  <si>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</si>
  <si>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</si>
  <si>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</si>
  <si>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</si>
  <si>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</si>
  <si>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</si>
  <si>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</si>
  <si>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</si>
  <si>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</si>
  <si>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</si>
  <si>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</si>
  <si>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</si>
  <si>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</si>
  <si>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</si>
  <si>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</si>
  <si>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</si>
  <si>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</si>
  <si>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</si>
  <si>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</si>
  <si>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</si>
  <si>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</si>
  <si>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</si>
  <si>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</si>
  <si>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</si>
  <si>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</si>
  <si>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</si>
  <si>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</si>
  <si>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</si>
  <si>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</si>
  <si>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</si>
  <si>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</si>
  <si>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</si>
  <si>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</si>
  <si>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</si>
  <si>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</si>
  <si>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</si>
  <si>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</si>
  <si>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</si>
  <si>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</si>
  <si>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</si>
  <si>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</si>
  <si>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</si>
  <si>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</si>
  <si>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</si>
  <si>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</si>
  <si>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</si>
  <si>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</si>
  <si>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</si>
  <si>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</si>
  <si>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</si>
  <si>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</si>
  <si>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</si>
  <si>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</si>
  <si>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</si>
  <si>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</si>
  <si>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</si>
  <si>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</si>
  <si>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</si>
  <si>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</si>
  <si>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</si>
  <si>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</si>
  <si>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</si>
  <si>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</si>
  <si>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</si>
  <si>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</si>
  <si>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</si>
  <si>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</si>
  <si>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</si>
  <si>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</si>
  <si>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</si>
  <si>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</si>
  <si>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</si>
  <si>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</si>
  <si>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</si>
  <si>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</si>
  <si>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</si>
  <si>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</si>
  <si>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</si>
  <si>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</si>
  <si>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</si>
  <si>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</si>
  <si>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</si>
  <si>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</si>
  <si>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</si>
  <si>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</si>
  <si>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</si>
  <si>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</si>
  <si>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</si>
  <si>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</si>
  <si>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</si>
  <si>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</si>
  <si>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</si>
  <si>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</si>
  <si>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</si>
  <si>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</si>
  <si>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</si>
  <si>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</si>
  <si>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</si>
  <si>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</si>
  <si>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</si>
  <si>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</si>
  <si>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</si>
  <si>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</si>
  <si>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</si>
  <si>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</si>
  <si>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</si>
  <si>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</si>
  <si>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</si>
  <si>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</si>
  <si>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</si>
  <si>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</si>
  <si>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</si>
  <si>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</si>
  <si>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</si>
  <si>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</si>
  <si>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</si>
  <si>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</si>
  <si>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</si>
  <si>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</si>
  <si>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</si>
  <si>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</si>
  <si>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</si>
  <si>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76947.20ns</t>
  </si>
  <si>
    <t>77356.80ns</t>
  </si>
  <si>
    <t>78278.40ns</t>
  </si>
  <si>
    <t>85497.60ns</t>
  </si>
  <si>
    <t>93894.40ns</t>
  </si>
  <si>
    <t>96966.40ns</t>
  </si>
  <si>
    <t>86419.20ns</t>
  </si>
  <si>
    <t>103929.60ns</t>
  </si>
  <si>
    <t>111507.20ns</t>
  </si>
  <si>
    <t>111916.80ns</t>
  </si>
  <si>
    <t>120569.60ns</t>
  </si>
  <si>
    <t>129990.40ns</t>
  </si>
  <si>
    <t>139001.60ns</t>
  </si>
  <si>
    <t>135724.80ns</t>
  </si>
  <si>
    <t>147244.80ns</t>
  </si>
  <si>
    <t>155436.80ns</t>
  </si>
  <si>
    <t>161939.20ns</t>
  </si>
  <si>
    <t>163014.40ns</t>
  </si>
  <si>
    <t>154771.20ns</t>
  </si>
  <si>
    <t>172025.60ns</t>
  </si>
  <si>
    <t>180934.40ns</t>
  </si>
  <si>
    <t>171462.40ns</t>
  </si>
  <si>
    <t>181446.40ns</t>
  </si>
  <si>
    <t>181395.20ns</t>
  </si>
  <si>
    <t>197369.60ns</t>
  </si>
  <si>
    <t>190406.40ns</t>
  </si>
  <si>
    <t>180729.60ns</t>
  </si>
  <si>
    <t>204742.40ns</t>
  </si>
  <si>
    <t>213804.80ns</t>
  </si>
  <si>
    <t>216057.60ns</t>
  </si>
  <si>
    <t>217952.00ns</t>
  </si>
  <si>
    <t>215545.60ns</t>
  </si>
  <si>
    <t>212268.80ns</t>
  </si>
  <si>
    <t>231315.20ns</t>
  </si>
  <si>
    <t>233465.60ns</t>
  </si>
  <si>
    <t>232646.40ns</t>
  </si>
  <si>
    <t>249747.20ns</t>
  </si>
  <si>
    <t>240428.80ns</t>
  </si>
  <si>
    <t>231008.00ns</t>
  </si>
  <si>
    <t>213395.20ns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</si>
  <si>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</si>
  <si>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</si>
  <si>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</si>
  <si>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</si>
  <si>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</si>
  <si>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</si>
  <si>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</si>
  <si>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</si>
  <si>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</si>
  <si>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</si>
  <si>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</si>
  <si>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</si>
  <si>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</si>
  <si>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</si>
  <si>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</si>
  <si>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</si>
  <si>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</si>
  <si>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</si>
  <si>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</si>
  <si>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</si>
  <si>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</si>
  <si>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</si>
  <si>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</si>
  <si>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</si>
  <si>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</si>
  <si>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</si>
  <si>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</si>
  <si>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</si>
  <si>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</si>
  <si>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</si>
  <si>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</si>
  <si>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</si>
  <si>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</si>
  <si>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</si>
  <si>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</si>
  <si>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</si>
  <si>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</si>
  <si>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</si>
  <si>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</si>
  <si>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</si>
  <si>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</si>
  <si>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</si>
  <si>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</si>
  <si>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</si>
  <si>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</si>
  <si>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</si>
  <si>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</si>
  <si>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</si>
  <si>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</si>
  <si>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</si>
  <si>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</si>
  <si>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</si>
  <si>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</si>
  <si>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</si>
  <si>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</si>
  <si>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</si>
  <si>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</si>
  <si>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</si>
  <si>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</si>
  <si>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</si>
  <si>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</si>
  <si>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</si>
  <si>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</si>
  <si>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</si>
  <si>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</si>
  <si>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</si>
  <si>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</si>
  <si>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</si>
  <si>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</si>
  <si>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</si>
  <si>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</si>
  <si>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</si>
  <si>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</si>
  <si>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</si>
  <si>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</si>
  <si>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</si>
  <si>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</si>
  <si>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</si>
  <si>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</si>
  <si>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</si>
  <si>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</si>
  <si>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</si>
  <si>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</si>
  <si>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</si>
  <si>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</si>
  <si>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</si>
  <si>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</si>
  <si>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</si>
  <si>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</si>
  <si>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</si>
  <si>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</si>
  <si>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</si>
  <si>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</si>
  <si>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</si>
  <si>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</si>
  <si>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</si>
  <si>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</si>
  <si>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</si>
  <si>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</si>
  <si>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</si>
  <si>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</si>
  <si>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</si>
  <si>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</si>
  <si>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</si>
  <si>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</si>
  <si>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</si>
  <si>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</si>
  <si>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</si>
  <si>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</si>
  <si>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</si>
  <si>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</si>
  <si>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</si>
  <si>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</si>
  <si>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</si>
  <si>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</si>
  <si>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</si>
  <si>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</si>
  <si>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</si>
  <si>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</si>
  <si>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</si>
  <si>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</si>
  <si>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</si>
  <si>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</si>
  <si>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</si>
  <si>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</si>
  <si>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</si>
  <si>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</si>
  <si>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</si>
  <si>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</si>
  <si>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</si>
  <si>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</si>
  <si>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</si>
  <si>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</si>
  <si>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</si>
  <si>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</si>
  <si>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</si>
  <si>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</si>
  <si>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</si>
  <si>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</si>
  <si>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</si>
  <si>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</si>
  <si>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</si>
  <si>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</si>
  <si>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</si>
  <si>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</si>
  <si>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</si>
  <si>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</si>
  <si>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</si>
  <si>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</si>
  <si>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</si>
  <si>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</si>
  <si>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</si>
  <si>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</si>
  <si>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</si>
  <si>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</si>
  <si>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</si>
  <si>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</si>
  <si>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</si>
  <si>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</si>
  <si>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</si>
  <si>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</si>
  <si>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</si>
  <si>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</si>
  <si>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</si>
  <si>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</si>
  <si>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</si>
  <si>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</si>
  <si>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</si>
  <si>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</si>
  <si>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</si>
  <si>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</si>
  <si>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</si>
  <si>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</si>
  <si>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</si>
  <si>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</si>
  <si>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</si>
  <si>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</si>
  <si>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</si>
  <si>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</si>
  <si>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</si>
  <si>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</si>
  <si>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</si>
  <si>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</si>
  <si>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</si>
  <si>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</si>
  <si>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</si>
  <si>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</si>
  <si>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</si>
  <si>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</si>
  <si>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</si>
  <si>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</si>
  <si>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</si>
  <si>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</si>
  <si>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</si>
  <si>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</si>
  <si>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</si>
  <si>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</si>
  <si>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</si>
  <si>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</si>
  <si>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</si>
  <si>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</si>
  <si>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</si>
  <si>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</si>
  <si>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</si>
  <si>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</si>
  <si>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</si>
  <si>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</si>
  <si>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</si>
  <si>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</si>
  <si>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</si>
  <si>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</si>
  <si>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</si>
  <si>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</si>
  <si>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</si>
  <si>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</si>
  <si>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</si>
  <si>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</si>
  <si>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</si>
  <si>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</si>
  <si>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</si>
  <si>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</si>
  <si>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</si>
  <si>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</si>
  <si>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</si>
  <si>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</si>
  <si>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</si>
  <si>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</si>
  <si>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</si>
  <si>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</si>
  <si>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</si>
  <si>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</si>
  <si>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</si>
  <si>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</si>
  <si>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</si>
  <si>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</si>
  <si>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</si>
  <si>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</si>
  <si>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</si>
  <si>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</si>
  <si>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</si>
  <si>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</si>
  <si>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</si>
  <si>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</si>
  <si>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</si>
  <si>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</si>
  <si>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</si>
  <si>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</si>
  <si>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</si>
  <si>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</si>
  <si>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</si>
  <si>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</si>
  <si>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</si>
  <si>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</si>
  <si>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</si>
  <si>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</si>
  <si>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</si>
  <si>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</si>
  <si>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</si>
  <si>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</si>
  <si>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</si>
  <si>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</si>
  <si>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</si>
  <si>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</si>
  <si>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</si>
  <si>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</si>
  <si>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</si>
  <si>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</si>
  <si>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</si>
  <si>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</si>
  <si>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</si>
  <si>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</si>
  <si>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</si>
  <si>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</si>
  <si>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</si>
  <si>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</si>
  <si>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</si>
  <si>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</si>
  <si>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</si>
  <si>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</si>
  <si>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</si>
  <si>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</si>
  <si>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</si>
  <si>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</si>
  <si>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</si>
  <si>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</si>
  <si>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</si>
  <si>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</si>
  <si>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</si>
  <si>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</si>
  <si>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</si>
  <si>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</si>
  <si>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</si>
  <si>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</si>
  <si>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</si>
  <si>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</si>
  <si>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</si>
  <si>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</si>
  <si>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</si>
  <si>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</si>
  <si>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</si>
  <si>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</si>
  <si>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</si>
  <si>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</si>
  <si>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</si>
  <si>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</si>
  <si>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</si>
  <si>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</si>
  <si>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</si>
  <si>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</si>
  <si>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</si>
  <si>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</si>
  <si>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</si>
  <si>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</si>
  <si>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</si>
  <si>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</si>
  <si>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</si>
  <si>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</si>
  <si>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</si>
  <si>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</si>
  <si>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</si>
  <si>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</si>
  <si>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</si>
  <si>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</si>
  <si>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PS</t>
  </si>
  <si>
    <t>HS6</t>
  </si>
  <si>
    <t>HS3</t>
  </si>
  <si>
    <t>Original Scheme</t>
  </si>
  <si>
    <t>HS1</t>
  </si>
  <si>
    <t>HS2</t>
  </si>
  <si>
    <t>HS11</t>
  </si>
  <si>
    <t>HS22</t>
  </si>
  <si>
    <t>HS33</t>
  </si>
  <si>
    <t>Performace</t>
  </si>
  <si>
    <t>Resource Util</t>
  </si>
  <si>
    <t>Original</t>
  </si>
  <si>
    <t>Colors</t>
  </si>
  <si>
    <t>#EF6C00</t>
  </si>
  <si>
    <t>#AC1356</t>
  </si>
  <si>
    <t>#6A1B9A</t>
  </si>
  <si>
    <t>#273693</t>
  </si>
  <si>
    <t>#1C88E3</t>
  </si>
  <si>
    <t>#424242</t>
  </si>
  <si>
    <t>#FFC746</t>
  </si>
  <si>
    <t>#4CB6AC</t>
  </si>
  <si>
    <t>#FE7272</t>
  </si>
  <si>
    <t>FP</t>
  </si>
  <si>
    <t>Every Third Offset</t>
  </si>
  <si>
    <t>First Two Offsets of Every Three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</si>
</sst>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F6C00"/>
        <bgColor indexed="64"/>
      </patternFill>
    </fill>
    <fill>
      <patternFill patternType="solid">
        <fgColor rgb="FFAC1356"/>
        <bgColor indexed="64"/>
      </patternFill>
    </fill>
    <fill>
      <patternFill patternType="solid">
        <fgColor rgb="FF6A1B9A"/>
        <bgColor indexed="64"/>
      </patternFill>
    </fill>
    <fill>
      <patternFill patternType="solid">
        <fgColor rgb="FF273693"/>
        <bgColor indexed="64"/>
      </patternFill>
    </fill>
    <fill>
      <patternFill patternType="solid">
        <fgColor rgb="FF1C88E3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FFC746"/>
        <bgColor indexed="64"/>
      </patternFill>
    </fill>
    <fill>
      <patternFill patternType="solid">
        <fgColor rgb="FF4CB6AC"/>
        <bgColor indexed="64"/>
      </patternFill>
    </fill>
    <fill>
      <patternFill patternType="solid">
        <fgColor rgb="FFFE727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9" fontId="0" fillId="0" borderId="0" xfId="1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EB8B8"/>
      <color rgb="FFFD0707"/>
      <color rgb="FFFE7272"/>
      <color rgb="FF424242"/>
      <color rgb="FF1C88E3"/>
      <color rgb="FF205A68"/>
      <color rgb="FF4CB6AC"/>
      <color rgb="FF273693"/>
      <color rgb="FF6A1B9A"/>
      <color rgb="FFAC13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Utilization'!$C$1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'Resource Utilization'!$A$2:$A$3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Utilization'!$C$2:$C$3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1381</c:v>
                      </c:pt>
                      <c:pt idx="1">
                        <c:v>1067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E4-49CB-9FB9-508349E28C65}"/>
                  </c:ext>
                </c:extLst>
              </c15:ser>
            </c15:filteredBarSeries>
          </c:ext>
        </c:extLst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Utilization'!$G$1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'Resource Utilization'!$E$2:$E$3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Utilization'!$G$2:$G$3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1.3599999999999999E-2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AD1-49D3-A165-CE4AE1547096}"/>
                  </c:ext>
                </c:extLst>
              </c15:ser>
            </c15:filteredBarSeries>
          </c:ext>
        </c:extLst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Utilization'!$B$10:$B$11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0-44EF-A88B-061B6C804892}"/>
            </c:ext>
          </c:extLst>
        </c:ser>
        <c:ser>
          <c:idx val="1"/>
          <c:order val="1"/>
          <c:tx>
            <c:strRef>
              <c:f>'Resource Utilization'!$C$9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Utilization'!$C$10:$C$11</c:f>
              <c:numCache>
                <c:formatCode>General</c:formatCode>
                <c:ptCount val="2"/>
                <c:pt idx="0">
                  <c:v>523</c:v>
                </c:pt>
                <c:pt idx="1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0-44EF-A88B-061B6C804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8783056"/>
        <c:axId val="528783472"/>
      </c:barChart>
      <c:catAx>
        <c:axId val="52878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472"/>
        <c:crosses val="autoZero"/>
        <c:auto val="1"/>
        <c:lblAlgn val="ctr"/>
        <c:lblOffset val="100"/>
        <c:noMultiLvlLbl val="0"/>
      </c:catAx>
      <c:valAx>
        <c:axId val="52878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Utilization'!$F$10:$F$11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B-43E0-BFB0-574899BE9021}"/>
            </c:ext>
          </c:extLst>
        </c:ser>
        <c:ser>
          <c:idx val="1"/>
          <c:order val="1"/>
          <c:tx>
            <c:strRef>
              <c:f>'Resource Utilization'!$G$9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Utilization'!$G$10:$G$11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B-43E0-BFB0-574899BE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76575520"/>
        <c:axId val="476587168"/>
      </c:barChart>
      <c:catAx>
        <c:axId val="47657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87168"/>
        <c:crosses val="autoZero"/>
        <c:auto val="1"/>
        <c:lblAlgn val="ctr"/>
        <c:lblOffset val="100"/>
        <c:noMultiLvlLbl val="0"/>
      </c:catAx>
      <c:valAx>
        <c:axId val="4765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Resync Stats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cat>
          <c:val>
            <c:numRef>
              <c:f>'parallel vs header-seeker-6'!$C$67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B-44CF-ACE5-BA2C9158D192}"/>
            </c:ext>
          </c:extLst>
        </c:ser>
        <c:ser>
          <c:idx val="3"/>
          <c:order val="1"/>
          <c:tx>
            <c:strRef>
              <c:f>'parallel vs header-seeker-6'!$D$68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header-seeker-6'!$D$67</c:f>
              <c:numCache>
                <c:formatCode>General</c:formatCode>
                <c:ptCount val="1"/>
                <c:pt idx="0">
                  <c:v>27.25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D-46A0-9834-A5AD4D1E422A}"/>
            </c:ext>
          </c:extLst>
        </c:ser>
        <c:ser>
          <c:idx val="4"/>
          <c:order val="2"/>
          <c:tx>
            <c:strRef>
              <c:f>'parallel vs header-seeker-6'!$E$68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header-seeker-6'!$E$67</c:f>
              <c:numCache>
                <c:formatCode>General</c:formatCode>
                <c:ptCount val="1"/>
                <c:pt idx="0">
                  <c:v>27.25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7D-46A0-9834-A5AD4D1E422A}"/>
            </c:ext>
          </c:extLst>
        </c:ser>
        <c:ser>
          <c:idx val="5"/>
          <c:order val="3"/>
          <c:tx>
            <c:strRef>
              <c:f>'parallel vs header-seeker-6'!$F$68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header-seeker-6'!$F$67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7D-46A0-9834-A5AD4D1E422A}"/>
            </c:ext>
          </c:extLst>
        </c:ser>
        <c:ser>
          <c:idx val="0"/>
          <c:order val="4"/>
          <c:tx>
            <c:strRef>
              <c:f>'parallel vs header-seeker-6'!$G$68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header-seeker-6'!$G$67</c:f>
              <c:numCache>
                <c:formatCode>General</c:formatCode>
                <c:ptCount val="1"/>
                <c:pt idx="0">
                  <c:v>29.25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7D-46A0-9834-A5AD4D1E422A}"/>
            </c:ext>
          </c:extLst>
        </c:ser>
        <c:ser>
          <c:idx val="2"/>
          <c:order val="5"/>
          <c:tx>
            <c:strRef>
              <c:f>'parallel vs header-seeker-6'!$H$68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header-seeker-6'!$H$67</c:f>
              <c:numCache>
                <c:formatCode>General</c:formatCode>
                <c:ptCount val="1"/>
                <c:pt idx="0">
                  <c:v>33.75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7D-46A0-9834-A5AD4D1E422A}"/>
            </c:ext>
          </c:extLst>
        </c:ser>
        <c:ser>
          <c:idx val="6"/>
          <c:order val="6"/>
          <c:tx>
            <c:strRef>
              <c:f>'parallel vs header-seeker-6'!$I$68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header-seeker-6'!$I$67</c:f>
              <c:numCache>
                <c:formatCode>General</c:formatCode>
                <c:ptCount val="1"/>
                <c:pt idx="0">
                  <c:v>38.75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7D-46A0-9834-A5AD4D1E422A}"/>
            </c:ext>
          </c:extLst>
        </c:ser>
        <c:ser>
          <c:idx val="7"/>
          <c:order val="7"/>
          <c:tx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header-seeker-6'!$J$67</c:f>
              <c:numCache>
                <c:formatCode>General</c:formatCode>
                <c:ptCount val="1"/>
                <c:pt idx="0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7D-46A0-9834-A5AD4D1E42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40748719"/>
        <c:axId val="1340756623"/>
      </c:barChart>
      <c:catAx>
        <c:axId val="1340748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756623"/>
        <c:crosses val="autoZero"/>
        <c:auto val="1"/>
        <c:lblAlgn val="ctr"/>
        <c:lblOffset val="100"/>
        <c:noMultiLvlLbl val="0"/>
      </c:catAx>
      <c:valAx>
        <c:axId val="134075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748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F6C00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25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26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25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27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27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8B-40B8-B95E-5C5A9386D6ED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AC135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26</c:v>
                </c:pt>
                <c:pt idx="9">
                  <c:v>27</c:v>
                </c:pt>
                <c:pt idx="10">
                  <c:v>26</c:v>
                </c:pt>
                <c:pt idx="11">
                  <c:v>27</c:v>
                </c:pt>
                <c:pt idx="12">
                  <c:v>27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28</c:v>
                </c:pt>
                <c:pt idx="35">
                  <c:v>27</c:v>
                </c:pt>
                <c:pt idx="36">
                  <c:v>27</c:v>
                </c:pt>
                <c:pt idx="37">
                  <c:v>28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26</c:v>
                </c:pt>
                <c:pt idx="45">
                  <c:v>27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28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33-4C73-8CBB-35E4808CBE21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A1B9A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26</c:v>
                </c:pt>
                <c:pt idx="27">
                  <c:v>26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26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28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27</c:v>
                </c:pt>
                <c:pt idx="55">
                  <c:v>28</c:v>
                </c:pt>
                <c:pt idx="56">
                  <c:v>28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27</c:v>
                </c:pt>
                <c:pt idx="64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33-4C73-8CBB-35E4808CBE21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27369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26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29</c:v>
                </c:pt>
                <c:pt idx="16">
                  <c:v>27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28</c:v>
                </c:pt>
                <c:pt idx="21">
                  <c:v>27</c:v>
                </c:pt>
                <c:pt idx="22">
                  <c:v>28</c:v>
                </c:pt>
                <c:pt idx="23">
                  <c:v>28</c:v>
                </c:pt>
                <c:pt idx="24">
                  <c:v>29</c:v>
                </c:pt>
                <c:pt idx="25">
                  <c:v>28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27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27</c:v>
                </c:pt>
                <c:pt idx="42">
                  <c:v>28</c:v>
                </c:pt>
                <c:pt idx="43">
                  <c:v>30</c:v>
                </c:pt>
                <c:pt idx="44">
                  <c:v>27</c:v>
                </c:pt>
                <c:pt idx="45">
                  <c:v>29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27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31</c:v>
                </c:pt>
                <c:pt idx="55">
                  <c:v>28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29</c:v>
                </c:pt>
                <c:pt idx="60">
                  <c:v>29</c:v>
                </c:pt>
                <c:pt idx="61">
                  <c:v>29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33-4C73-8CBB-35E4808CBE21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CB6AC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header-seeker-6'!$G$2:$G$67</c:f>
              <c:numCache>
                <c:formatCode>General</c:formatCode>
                <c:ptCount val="66"/>
                <c:pt idx="0">
                  <c:v>28</c:v>
                </c:pt>
                <c:pt idx="1">
                  <c:v>29</c:v>
                </c:pt>
                <c:pt idx="2">
                  <c:v>28</c:v>
                </c:pt>
                <c:pt idx="3">
                  <c:v>30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26</c:v>
                </c:pt>
                <c:pt idx="12">
                  <c:v>29</c:v>
                </c:pt>
                <c:pt idx="13">
                  <c:v>29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28</c:v>
                </c:pt>
                <c:pt idx="18">
                  <c:v>29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30</c:v>
                </c:pt>
                <c:pt idx="23">
                  <c:v>29</c:v>
                </c:pt>
                <c:pt idx="24">
                  <c:v>29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28</c:v>
                </c:pt>
                <c:pt idx="33">
                  <c:v>30</c:v>
                </c:pt>
                <c:pt idx="34">
                  <c:v>29</c:v>
                </c:pt>
                <c:pt idx="35">
                  <c:v>31</c:v>
                </c:pt>
                <c:pt idx="36">
                  <c:v>30</c:v>
                </c:pt>
                <c:pt idx="37">
                  <c:v>29</c:v>
                </c:pt>
                <c:pt idx="38">
                  <c:v>28</c:v>
                </c:pt>
                <c:pt idx="39">
                  <c:v>29</c:v>
                </c:pt>
                <c:pt idx="40">
                  <c:v>29</c:v>
                </c:pt>
                <c:pt idx="41">
                  <c:v>33</c:v>
                </c:pt>
                <c:pt idx="42">
                  <c:v>29</c:v>
                </c:pt>
                <c:pt idx="43">
                  <c:v>29</c:v>
                </c:pt>
                <c:pt idx="44">
                  <c:v>29</c:v>
                </c:pt>
                <c:pt idx="45">
                  <c:v>29</c:v>
                </c:pt>
                <c:pt idx="46">
                  <c:v>29</c:v>
                </c:pt>
                <c:pt idx="47">
                  <c:v>32</c:v>
                </c:pt>
                <c:pt idx="48">
                  <c:v>29</c:v>
                </c:pt>
                <c:pt idx="49">
                  <c:v>29</c:v>
                </c:pt>
                <c:pt idx="50">
                  <c:v>29</c:v>
                </c:pt>
                <c:pt idx="51">
                  <c:v>30</c:v>
                </c:pt>
                <c:pt idx="52">
                  <c:v>30</c:v>
                </c:pt>
                <c:pt idx="53">
                  <c:v>33</c:v>
                </c:pt>
                <c:pt idx="54">
                  <c:v>29</c:v>
                </c:pt>
                <c:pt idx="55">
                  <c:v>29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35</c:v>
                </c:pt>
                <c:pt idx="60">
                  <c:v>30</c:v>
                </c:pt>
                <c:pt idx="61">
                  <c:v>29</c:v>
                </c:pt>
                <c:pt idx="62">
                  <c:v>30</c:v>
                </c:pt>
                <c:pt idx="63">
                  <c:v>30</c:v>
                </c:pt>
                <c:pt idx="64">
                  <c:v>29</c:v>
                </c:pt>
                <c:pt idx="65">
                  <c:v>29.25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58B-40B8-B95E-5C5A9386D6ED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E727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33</c:v>
                </c:pt>
                <c:pt idx="5">
                  <c:v>25</c:v>
                </c:pt>
                <c:pt idx="6">
                  <c:v>32</c:v>
                </c:pt>
                <c:pt idx="7">
                  <c:v>33</c:v>
                </c:pt>
                <c:pt idx="8">
                  <c:v>26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33</c:v>
                </c:pt>
                <c:pt idx="13">
                  <c:v>33</c:v>
                </c:pt>
                <c:pt idx="14">
                  <c:v>28</c:v>
                </c:pt>
                <c:pt idx="15">
                  <c:v>34</c:v>
                </c:pt>
                <c:pt idx="16">
                  <c:v>33</c:v>
                </c:pt>
                <c:pt idx="17">
                  <c:v>30</c:v>
                </c:pt>
                <c:pt idx="18">
                  <c:v>34</c:v>
                </c:pt>
                <c:pt idx="19">
                  <c:v>33</c:v>
                </c:pt>
                <c:pt idx="20">
                  <c:v>29</c:v>
                </c:pt>
                <c:pt idx="21">
                  <c:v>32</c:v>
                </c:pt>
                <c:pt idx="22">
                  <c:v>32</c:v>
                </c:pt>
                <c:pt idx="23">
                  <c:v>31</c:v>
                </c:pt>
                <c:pt idx="24">
                  <c:v>34</c:v>
                </c:pt>
                <c:pt idx="25">
                  <c:v>33</c:v>
                </c:pt>
                <c:pt idx="26">
                  <c:v>32</c:v>
                </c:pt>
                <c:pt idx="27">
                  <c:v>35</c:v>
                </c:pt>
                <c:pt idx="28">
                  <c:v>34</c:v>
                </c:pt>
                <c:pt idx="29">
                  <c:v>33</c:v>
                </c:pt>
                <c:pt idx="30">
                  <c:v>33</c:v>
                </c:pt>
                <c:pt idx="31">
                  <c:v>34</c:v>
                </c:pt>
                <c:pt idx="32">
                  <c:v>34</c:v>
                </c:pt>
                <c:pt idx="33">
                  <c:v>35</c:v>
                </c:pt>
                <c:pt idx="34">
                  <c:v>34</c:v>
                </c:pt>
                <c:pt idx="35">
                  <c:v>36</c:v>
                </c:pt>
                <c:pt idx="36">
                  <c:v>33</c:v>
                </c:pt>
                <c:pt idx="37">
                  <c:v>33</c:v>
                </c:pt>
                <c:pt idx="38">
                  <c:v>37</c:v>
                </c:pt>
                <c:pt idx="39">
                  <c:v>32</c:v>
                </c:pt>
                <c:pt idx="40">
                  <c:v>35</c:v>
                </c:pt>
                <c:pt idx="41">
                  <c:v>38</c:v>
                </c:pt>
                <c:pt idx="42">
                  <c:v>34</c:v>
                </c:pt>
                <c:pt idx="43">
                  <c:v>34</c:v>
                </c:pt>
                <c:pt idx="44">
                  <c:v>38</c:v>
                </c:pt>
                <c:pt idx="45">
                  <c:v>33</c:v>
                </c:pt>
                <c:pt idx="46">
                  <c:v>33</c:v>
                </c:pt>
                <c:pt idx="47">
                  <c:v>40</c:v>
                </c:pt>
                <c:pt idx="48">
                  <c:v>33</c:v>
                </c:pt>
                <c:pt idx="49">
                  <c:v>34</c:v>
                </c:pt>
                <c:pt idx="50">
                  <c:v>40</c:v>
                </c:pt>
                <c:pt idx="51">
                  <c:v>34</c:v>
                </c:pt>
                <c:pt idx="52">
                  <c:v>33</c:v>
                </c:pt>
                <c:pt idx="53">
                  <c:v>41</c:v>
                </c:pt>
                <c:pt idx="54">
                  <c:v>35</c:v>
                </c:pt>
                <c:pt idx="55">
                  <c:v>34</c:v>
                </c:pt>
                <c:pt idx="56">
                  <c:v>42</c:v>
                </c:pt>
                <c:pt idx="57">
                  <c:v>33</c:v>
                </c:pt>
                <c:pt idx="58">
                  <c:v>33</c:v>
                </c:pt>
                <c:pt idx="59">
                  <c:v>44</c:v>
                </c:pt>
                <c:pt idx="60">
                  <c:v>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58B-40B8-B95E-5C5A9386D6ED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C88E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39</c:v>
                </c:pt>
                <c:pt idx="1">
                  <c:v>38</c:v>
                </c:pt>
                <c:pt idx="2">
                  <c:v>39</c:v>
                </c:pt>
                <c:pt idx="3">
                  <c:v>38</c:v>
                </c:pt>
                <c:pt idx="4">
                  <c:v>39</c:v>
                </c:pt>
                <c:pt idx="5">
                  <c:v>37</c:v>
                </c:pt>
                <c:pt idx="6">
                  <c:v>39</c:v>
                </c:pt>
                <c:pt idx="7">
                  <c:v>40</c:v>
                </c:pt>
                <c:pt idx="8">
                  <c:v>36</c:v>
                </c:pt>
                <c:pt idx="9">
                  <c:v>38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37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40</c:v>
                </c:pt>
                <c:pt idx="18">
                  <c:v>36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36</c:v>
                </c:pt>
                <c:pt idx="23">
                  <c:v>38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37</c:v>
                </c:pt>
                <c:pt idx="28">
                  <c:v>38</c:v>
                </c:pt>
                <c:pt idx="29">
                  <c:v>41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37</c:v>
                </c:pt>
                <c:pt idx="34">
                  <c:v>38</c:v>
                </c:pt>
                <c:pt idx="35">
                  <c:v>37</c:v>
                </c:pt>
                <c:pt idx="36">
                  <c:v>38</c:v>
                </c:pt>
                <c:pt idx="37">
                  <c:v>41</c:v>
                </c:pt>
                <c:pt idx="38">
                  <c:v>38</c:v>
                </c:pt>
                <c:pt idx="39">
                  <c:v>38</c:v>
                </c:pt>
                <c:pt idx="40">
                  <c:v>40</c:v>
                </c:pt>
                <c:pt idx="41">
                  <c:v>40</c:v>
                </c:pt>
                <c:pt idx="42">
                  <c:v>39</c:v>
                </c:pt>
                <c:pt idx="43">
                  <c:v>37</c:v>
                </c:pt>
                <c:pt idx="44">
                  <c:v>38</c:v>
                </c:pt>
                <c:pt idx="45">
                  <c:v>40</c:v>
                </c:pt>
                <c:pt idx="46">
                  <c:v>38</c:v>
                </c:pt>
                <c:pt idx="47">
                  <c:v>39</c:v>
                </c:pt>
                <c:pt idx="48">
                  <c:v>38</c:v>
                </c:pt>
                <c:pt idx="49">
                  <c:v>38</c:v>
                </c:pt>
                <c:pt idx="50">
                  <c:v>39</c:v>
                </c:pt>
                <c:pt idx="51">
                  <c:v>39</c:v>
                </c:pt>
                <c:pt idx="52">
                  <c:v>40</c:v>
                </c:pt>
                <c:pt idx="53">
                  <c:v>39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39</c:v>
                </c:pt>
                <c:pt idx="58">
                  <c:v>39</c:v>
                </c:pt>
                <c:pt idx="59">
                  <c:v>40</c:v>
                </c:pt>
                <c:pt idx="60">
                  <c:v>39</c:v>
                </c:pt>
                <c:pt idx="61">
                  <c:v>39</c:v>
                </c:pt>
                <c:pt idx="62">
                  <c:v>39</c:v>
                </c:pt>
                <c:pt idx="63">
                  <c:v>39</c:v>
                </c:pt>
                <c:pt idx="64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33-4C73-8CBB-35E4808CBE21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2424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header-seeker-6'!$J$2:$J$66</c:f>
              <c:numCache>
                <c:formatCode>General</c:formatCode>
                <c:ptCount val="65"/>
                <c:pt idx="0">
                  <c:v>21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33</c:v>
                </c:pt>
                <c:pt idx="13">
                  <c:v>35</c:v>
                </c:pt>
                <c:pt idx="14">
                  <c:v>35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41</c:v>
                </c:pt>
                <c:pt idx="19">
                  <c:v>41</c:v>
                </c:pt>
                <c:pt idx="20">
                  <c:v>42</c:v>
                </c:pt>
                <c:pt idx="21">
                  <c:v>42</c:v>
                </c:pt>
                <c:pt idx="22">
                  <c:v>43</c:v>
                </c:pt>
                <c:pt idx="23">
                  <c:v>45</c:v>
                </c:pt>
                <c:pt idx="24">
                  <c:v>48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50</c:v>
                </c:pt>
                <c:pt idx="29">
                  <c:v>52</c:v>
                </c:pt>
                <c:pt idx="30">
                  <c:v>51</c:v>
                </c:pt>
                <c:pt idx="31">
                  <c:v>54</c:v>
                </c:pt>
                <c:pt idx="32">
                  <c:v>53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61</c:v>
                </c:pt>
                <c:pt idx="37">
                  <c:v>59</c:v>
                </c:pt>
                <c:pt idx="38">
                  <c:v>59</c:v>
                </c:pt>
                <c:pt idx="39">
                  <c:v>60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66</c:v>
                </c:pt>
                <c:pt idx="44">
                  <c:v>67</c:v>
                </c:pt>
                <c:pt idx="45">
                  <c:v>67</c:v>
                </c:pt>
                <c:pt idx="46">
                  <c:v>68</c:v>
                </c:pt>
                <c:pt idx="47">
                  <c:v>69</c:v>
                </c:pt>
                <c:pt idx="48">
                  <c:v>71</c:v>
                </c:pt>
                <c:pt idx="49">
                  <c:v>70</c:v>
                </c:pt>
                <c:pt idx="50">
                  <c:v>72</c:v>
                </c:pt>
                <c:pt idx="51">
                  <c:v>72</c:v>
                </c:pt>
                <c:pt idx="52">
                  <c:v>74</c:v>
                </c:pt>
                <c:pt idx="53">
                  <c:v>76</c:v>
                </c:pt>
                <c:pt idx="54">
                  <c:v>78</c:v>
                </c:pt>
                <c:pt idx="55">
                  <c:v>76</c:v>
                </c:pt>
                <c:pt idx="56">
                  <c:v>78</c:v>
                </c:pt>
                <c:pt idx="57">
                  <c:v>79</c:v>
                </c:pt>
                <c:pt idx="58">
                  <c:v>78</c:v>
                </c:pt>
                <c:pt idx="59">
                  <c:v>82</c:v>
                </c:pt>
                <c:pt idx="60">
                  <c:v>82</c:v>
                </c:pt>
                <c:pt idx="61">
                  <c:v>86</c:v>
                </c:pt>
                <c:pt idx="62">
                  <c:v>87</c:v>
                </c:pt>
                <c:pt idx="63">
                  <c:v>86</c:v>
                </c:pt>
                <c:pt idx="64">
                  <c:v>85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EEC-4751-9DA4-593087545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8"/>
                <c:tx>
                  <c:strRef>
                    <c:extLst>
                      <c:ext uri="{02D57815-91ED-43cb-92C2-25804820EDAC}">
                        <c15:formulaRef>
                          <c15:sqref>'parallel vs header-seeker-6'!$K$1</c15:sqref>
                        </c15:formulaRef>
                      </c:ext>
                    </c:extLst>
                    <c:strCache>
                      <c:ptCount val="1"/>
                      <c:pt idx="0">
                        <c:v>Original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C746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'parallel vs header-seeker-6'!$K$2:$K$66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69</c:v>
                      </c:pt>
                      <c:pt idx="1">
                        <c:v>105</c:v>
                      </c:pt>
                      <c:pt idx="2">
                        <c:v>184</c:v>
                      </c:pt>
                      <c:pt idx="3">
                        <c:v>255</c:v>
                      </c:pt>
                      <c:pt idx="4">
                        <c:v>343</c:v>
                      </c:pt>
                      <c:pt idx="5">
                        <c:v>428</c:v>
                      </c:pt>
                      <c:pt idx="6">
                        <c:v>487</c:v>
                      </c:pt>
                      <c:pt idx="7">
                        <c:v>558</c:v>
                      </c:pt>
                      <c:pt idx="8">
                        <c:v>635</c:v>
                      </c:pt>
                      <c:pt idx="9">
                        <c:v>738</c:v>
                      </c:pt>
                      <c:pt idx="10">
                        <c:v>798</c:v>
                      </c:pt>
                      <c:pt idx="11">
                        <c:v>874</c:v>
                      </c:pt>
                      <c:pt idx="12">
                        <c:v>980</c:v>
                      </c:pt>
                      <c:pt idx="13">
                        <c:v>1031</c:v>
                      </c:pt>
                      <c:pt idx="14">
                        <c:v>1106</c:v>
                      </c:pt>
                      <c:pt idx="15">
                        <c:v>1206</c:v>
                      </c:pt>
                      <c:pt idx="16">
                        <c:v>1256</c:v>
                      </c:pt>
                      <c:pt idx="17">
                        <c:v>1372</c:v>
                      </c:pt>
                      <c:pt idx="18">
                        <c:v>1425</c:v>
                      </c:pt>
                      <c:pt idx="19">
                        <c:v>1526</c:v>
                      </c:pt>
                      <c:pt idx="20">
                        <c:v>1557</c:v>
                      </c:pt>
                      <c:pt idx="21">
                        <c:v>1681</c:v>
                      </c:pt>
                      <c:pt idx="22">
                        <c:v>1758</c:v>
                      </c:pt>
                      <c:pt idx="23">
                        <c:v>1837</c:v>
                      </c:pt>
                      <c:pt idx="24">
                        <c:v>1927</c:v>
                      </c:pt>
                      <c:pt idx="25">
                        <c:v>1999</c:v>
                      </c:pt>
                      <c:pt idx="26">
                        <c:v>2098</c:v>
                      </c:pt>
                      <c:pt idx="27">
                        <c:v>2138</c:v>
                      </c:pt>
                      <c:pt idx="28">
                        <c:v>2206</c:v>
                      </c:pt>
                      <c:pt idx="29">
                        <c:v>2345</c:v>
                      </c:pt>
                      <c:pt idx="30">
                        <c:v>2405</c:v>
                      </c:pt>
                      <c:pt idx="31">
                        <c:v>2441</c:v>
                      </c:pt>
                      <c:pt idx="32">
                        <c:v>2541</c:v>
                      </c:pt>
                      <c:pt idx="33">
                        <c:v>2644</c:v>
                      </c:pt>
                      <c:pt idx="34">
                        <c:v>2701</c:v>
                      </c:pt>
                      <c:pt idx="35">
                        <c:v>2728</c:v>
                      </c:pt>
                      <c:pt idx="36">
                        <c:v>2826</c:v>
                      </c:pt>
                      <c:pt idx="37">
                        <c:v>2907</c:v>
                      </c:pt>
                      <c:pt idx="38">
                        <c:v>3037</c:v>
                      </c:pt>
                      <c:pt idx="39">
                        <c:v>3012</c:v>
                      </c:pt>
                      <c:pt idx="40">
                        <c:v>3154</c:v>
                      </c:pt>
                      <c:pt idx="41">
                        <c:v>3283</c:v>
                      </c:pt>
                      <c:pt idx="42">
                        <c:v>3310</c:v>
                      </c:pt>
                      <c:pt idx="43">
                        <c:v>3404</c:v>
                      </c:pt>
                      <c:pt idx="44">
                        <c:v>3421</c:v>
                      </c:pt>
                      <c:pt idx="45">
                        <c:v>3592</c:v>
                      </c:pt>
                      <c:pt idx="46">
                        <c:v>3650</c:v>
                      </c:pt>
                      <c:pt idx="47">
                        <c:v>3736</c:v>
                      </c:pt>
                      <c:pt idx="48">
                        <c:v>3811</c:v>
                      </c:pt>
                      <c:pt idx="49">
                        <c:v>3870</c:v>
                      </c:pt>
                      <c:pt idx="50">
                        <c:v>3976</c:v>
                      </c:pt>
                      <c:pt idx="51">
                        <c:v>4005</c:v>
                      </c:pt>
                      <c:pt idx="52">
                        <c:v>4083</c:v>
                      </c:pt>
                      <c:pt idx="53">
                        <c:v>4162</c:v>
                      </c:pt>
                      <c:pt idx="54">
                        <c:v>4289</c:v>
                      </c:pt>
                      <c:pt idx="55">
                        <c:v>4330</c:v>
                      </c:pt>
                      <c:pt idx="56">
                        <c:v>4417</c:v>
                      </c:pt>
                      <c:pt idx="57">
                        <c:v>4500</c:v>
                      </c:pt>
                      <c:pt idx="58">
                        <c:v>4571</c:v>
                      </c:pt>
                      <c:pt idx="59">
                        <c:v>4631</c:v>
                      </c:pt>
                      <c:pt idx="60">
                        <c:v>4727</c:v>
                      </c:pt>
                      <c:pt idx="61">
                        <c:v>2526</c:v>
                      </c:pt>
                      <c:pt idx="62">
                        <c:v>2371</c:v>
                      </c:pt>
                      <c:pt idx="63">
                        <c:v>2294</c:v>
                      </c:pt>
                      <c:pt idx="64">
                        <c:v>1685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1F45-4803-8936-D1254E9D1BB3}"/>
                  </c:ext>
                </c:extLst>
              </c15:ser>
            </c15:filteredScatterSeries>
          </c:ext>
        </c:extLst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of Channel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header-seeker-6'!$N$1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header-seeker-6'!$N$2:$N$3</c:f>
              <c:numCache>
                <c:formatCode>0.00%</c:formatCode>
                <c:ptCount val="2"/>
                <c:pt idx="0">
                  <c:v>1.47E-2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6C-4E99-9250-DC94877F4FD6}"/>
            </c:ext>
          </c:extLst>
        </c:ser>
        <c:ser>
          <c:idx val="4"/>
          <c:order val="1"/>
          <c:tx>
            <c:strRef>
              <c:f>'parallel vs header-seeker-6'!$O$1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header-seeker-6'!$O$2:$O$3</c:f>
              <c:numCache>
                <c:formatCode>0.00%</c:formatCode>
                <c:ptCount val="2"/>
                <c:pt idx="0">
                  <c:v>1.0699999999999999E-2</c:v>
                </c:pt>
                <c:pt idx="1">
                  <c:v>4.1999999999999997E-3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6C-4E99-9250-DC94877F4FD6}"/>
            </c:ext>
          </c:extLst>
        </c:ser>
        <c:ser>
          <c:idx val="5"/>
          <c:order val="2"/>
          <c:tx>
            <c:strRef>
              <c:f>'parallel vs header-seeker-6'!$P$1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header-seeker-6'!$P$2:$P$3</c:f>
              <c:numCache>
                <c:formatCode>0.00%</c:formatCode>
                <c:ptCount val="2"/>
                <c:pt idx="0">
                  <c:v>9.4000000000000004E-3</c:v>
                </c:pt>
                <c:pt idx="1">
                  <c:v>3.7000000000000002E-3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06C-4E99-9250-DC94877F4FD6}"/>
            </c:ext>
          </c:extLst>
        </c:ser>
        <c:ser>
          <c:idx val="6"/>
          <c:order val="3"/>
          <c:tx>
            <c:strRef>
              <c:f>'parallel vs header-seeker-6'!$Q$1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header-seeker-6'!$Q$2:$Q$3</c:f>
              <c:numCache>
                <c:formatCode>0.00%</c:formatCode>
                <c:ptCount val="2"/>
                <c:pt idx="0">
                  <c:v>7.7000000000000002E-3</c:v>
                </c:pt>
                <c:pt idx="1">
                  <c:v>3.0000000000000001E-3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06C-4E99-9250-DC94877F4FD6}"/>
            </c:ext>
          </c:extLst>
        </c:ser>
        <c:ser>
          <c:idx val="7"/>
          <c:order val="4"/>
          <c:tx>
            <c:strRef>
              <c:f>'parallel vs header-seeker-6'!$R$1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header-seeker-6'!$R$2:$R$3</c:f>
              <c:numCache>
                <c:formatCode>0.00%</c:formatCode>
                <c:ptCount val="2"/>
                <c:pt idx="0">
                  <c:v>7.4999999999999997E-3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06C-4E99-9250-DC94877F4FD6}"/>
            </c:ext>
          </c:extLst>
        </c:ser>
        <c:ser>
          <c:idx val="8"/>
          <c:order val="5"/>
          <c:tx>
            <c:strRef>
              <c:f>'parallel vs header-seeker-6'!$S$1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header-seeker-6'!$S$2:$S$3</c:f>
              <c:numCache>
                <c:formatCode>0.00%</c:formatCode>
                <c:ptCount val="2"/>
                <c:pt idx="0">
                  <c:v>6.7000000000000002E-3</c:v>
                </c:pt>
                <c:pt idx="1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6C-4E99-9250-DC94877F4FD6}"/>
            </c:ext>
          </c:extLst>
        </c:ser>
        <c:ser>
          <c:idx val="9"/>
          <c:order val="6"/>
          <c:tx>
            <c:strRef>
              <c:f>'parallel vs header-seeker-6'!$T$1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header-seeker-6'!$T$2:$T$3</c:f>
              <c:numCache>
                <c:formatCode>0.00%</c:formatCode>
                <c:ptCount val="2"/>
                <c:pt idx="0">
                  <c:v>5.7999999999999996E-3</c:v>
                </c:pt>
                <c:pt idx="1">
                  <c:v>2.3999999999999998E-3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06C-4E99-9250-DC94877F4FD6}"/>
            </c:ext>
          </c:extLst>
        </c:ser>
        <c:ser>
          <c:idx val="10"/>
          <c:order val="7"/>
          <c:tx>
            <c:strRef>
              <c:f>'parallel vs header-seeker-6'!$U$1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header-seeker-6'!$U$2:$U$3</c:f>
              <c:numCache>
                <c:formatCode>0.00%</c:formatCode>
                <c:ptCount val="2"/>
                <c:pt idx="0">
                  <c:v>5.4000000000000003E-3</c:v>
                </c:pt>
                <c:pt idx="1">
                  <c:v>2.3E-3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06C-4E99-9250-DC94877F4FD6}"/>
            </c:ext>
          </c:extLst>
        </c:ser>
        <c:ser>
          <c:idx val="11"/>
          <c:order val="11"/>
          <c:tx>
            <c:strRef>
              <c:f>'parallel vs header-seeker-6'!$V$1</c:f>
              <c:strCache>
                <c:ptCount val="1"/>
                <c:pt idx="0">
                  <c:v>Original</c:v>
                </c:pt>
              </c:strCache>
            </c:strRef>
          </c:tx>
          <c:spPr>
            <a:solidFill>
              <a:srgbClr val="FFC74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header-seeker-6'!$V$2:$V$3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95-4492-8DA2-742508C6A0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>
          <c:ext xmlns:c15="http://schemas.microsoft.com/office/drawing/2012/chart" uri="{02D57815-91ED-43cb-92C2-25804820EDAC}">
            <c15:filteredBarSeries>
              <c15:ser>
                <c:idx val="0"/>
                <c:order val="8"/>
                <c:tx>
                  <c:strRef>
                    <c:extLst>
                      <c:ext uri="{02D57815-91ED-43cb-92C2-25804820EDAC}">
                        <c15:formulaRef>
                          <c15:sqref>'parallel vs header-seeker-6'!$N$1</c15:sqref>
                        </c15:formulaRef>
                      </c:ext>
                    </c:extLst>
                    <c:strCache>
                      <c:ptCount val="1"/>
                      <c:pt idx="0">
                        <c:v>FP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'parallel vs header-seeker-6'!$N$2:$N$3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1.47E-2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F06C-4E99-9250-DC94877F4FD6}"/>
                  </c:ext>
                </c:extLst>
              </c15:ser>
            </c15:filteredBarSeries>
            <c15:filteredBarSeries>
              <c15:ser>
                <c:idx val="1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header-seeker-6'!$R$1</c15:sqref>
                        </c15:formulaRef>
                      </c:ext>
                    </c:extLst>
                    <c:strCache>
                      <c:ptCount val="1"/>
                      <c:pt idx="0">
                        <c:v>HS6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header-seeker-6'!$R$2:$R$3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7.4999999999999997E-3</c:v>
                      </c:pt>
                      <c:pt idx="1">
                        <c:v>2.7000000000000001E-3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06C-4E99-9250-DC94877F4FD6}"/>
                  </c:ext>
                </c:extLst>
              </c15:ser>
            </c15:filteredBarSeries>
            <c15:filteredBarSeries>
              <c15:ser>
                <c:idx val="2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header-seeker-6'!$S$1</c15:sqref>
                        </c15:formulaRef>
                      </c:ext>
                    </c:extLst>
                    <c:strCache>
                      <c:ptCount val="1"/>
                      <c:pt idx="0">
                        <c:v>HS3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header-seeker-6'!$S$2:$S$3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6.7000000000000002E-3</c:v>
                      </c:pt>
                      <c:pt idx="1">
                        <c:v>2.5000000000000001E-3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06C-4E99-9250-DC94877F4FD6}"/>
                  </c:ext>
                </c:extLst>
              </c15:ser>
            </c15:filteredBarSeries>
          </c:ext>
        </c:extLst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Aligner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header-seeker-6'!$Y$1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header-seeker-6'!$Y$2:$Y$3</c:f>
              <c:numCache>
                <c:formatCode>General</c:formatCode>
                <c:ptCount val="2"/>
                <c:pt idx="0">
                  <c:v>1261</c:v>
                </c:pt>
                <c:pt idx="1">
                  <c:v>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5C-43D0-9717-84D4C3428545}"/>
            </c:ext>
          </c:extLst>
        </c:ser>
        <c:ser>
          <c:idx val="4"/>
          <c:order val="1"/>
          <c:tx>
            <c:strRef>
              <c:f>'parallel vs header-seeker-6'!$Z$1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header-seeker-6'!$Z$2:$Z$3</c:f>
              <c:numCache>
                <c:formatCode>General</c:formatCode>
                <c:ptCount val="2"/>
                <c:pt idx="0">
                  <c:v>852</c:v>
                </c:pt>
                <c:pt idx="1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85C-43D0-9717-84D4C3428545}"/>
            </c:ext>
          </c:extLst>
        </c:ser>
        <c:ser>
          <c:idx val="5"/>
          <c:order val="2"/>
          <c:tx>
            <c:strRef>
              <c:f>'parallel vs header-seeker-6'!$AA$1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header-seeker-6'!$AA$2:$AA$3</c:f>
              <c:numCache>
                <c:formatCode>General</c:formatCode>
                <c:ptCount val="2"/>
                <c:pt idx="0">
                  <c:v>725</c:v>
                </c:pt>
                <c:pt idx="1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85C-43D0-9717-84D4C3428545}"/>
            </c:ext>
          </c:extLst>
        </c:ser>
        <c:ser>
          <c:idx val="6"/>
          <c:order val="3"/>
          <c:tx>
            <c:strRef>
              <c:f>'parallel vs header-seeker-6'!$AB$1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header-seeker-6'!$AB$2:$AB$3</c:f>
              <c:numCache>
                <c:formatCode>General</c:formatCode>
                <c:ptCount val="2"/>
                <c:pt idx="0">
                  <c:v>552</c:v>
                </c:pt>
                <c:pt idx="1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5C-43D0-9717-84D4C3428545}"/>
            </c:ext>
          </c:extLst>
        </c:ser>
        <c:ser>
          <c:idx val="7"/>
          <c:order val="4"/>
          <c:tx>
            <c:strRef>
              <c:f>'parallel vs header-seeker-6'!$AC$1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header-seeker-6'!$AC$2:$AC$3</c:f>
              <c:numCache>
                <c:formatCode>General</c:formatCode>
                <c:ptCount val="2"/>
                <c:pt idx="0">
                  <c:v>527</c:v>
                </c:pt>
                <c:pt idx="1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85C-43D0-9717-84D4C3428545}"/>
            </c:ext>
          </c:extLst>
        </c:ser>
        <c:ser>
          <c:idx val="8"/>
          <c:order val="5"/>
          <c:tx>
            <c:strRef>
              <c:f>'parallel vs header-seeker-6'!$AD$1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014D4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E727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DB-4557-8B1E-216BC3E60247}"/>
              </c:ext>
            </c:extLst>
          </c:dPt>
          <c:dPt>
            <c:idx val="1"/>
            <c:invertIfNegative val="0"/>
            <c:bubble3D val="0"/>
            <c:spPr>
              <a:solidFill>
                <a:srgbClr val="FE727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1EDB-4557-8B1E-216BC3E60247}"/>
              </c:ext>
            </c:extLst>
          </c:dPt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header-seeker-6'!$AD$2:$AD$3</c:f>
              <c:numCache>
                <c:formatCode>General</c:formatCode>
                <c:ptCount val="2"/>
                <c:pt idx="0">
                  <c:v>451</c:v>
                </c:pt>
                <c:pt idx="1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85C-43D0-9717-84D4C3428545}"/>
            </c:ext>
          </c:extLst>
        </c:ser>
        <c:ser>
          <c:idx val="9"/>
          <c:order val="6"/>
          <c:tx>
            <c:strRef>
              <c:f>'parallel vs header-seeker-6'!$AE$1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header-seeker-6'!$AE$2:$AE$3</c:f>
              <c:numCache>
                <c:formatCode>General</c:formatCode>
                <c:ptCount val="2"/>
                <c:pt idx="0">
                  <c:v>354</c:v>
                </c:pt>
                <c:pt idx="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85C-43D0-9717-84D4C3428545}"/>
            </c:ext>
          </c:extLst>
        </c:ser>
        <c:ser>
          <c:idx val="10"/>
          <c:order val="7"/>
          <c:tx>
            <c:strRef>
              <c:f>'parallel vs header-seeker-6'!$AF$1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header-seeker-6'!$AF$2:$AF$3</c:f>
              <c:numCache>
                <c:formatCode>General</c:formatCode>
                <c:ptCount val="2"/>
                <c:pt idx="0">
                  <c:v>310</c:v>
                </c:pt>
                <c:pt idx="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5C-43D0-9717-84D4C34285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6302976"/>
        <c:axId val="476304640"/>
      </c:barChart>
      <c:catAx>
        <c:axId val="47630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4640"/>
        <c:crosses val="autoZero"/>
        <c:auto val="1"/>
        <c:lblAlgn val="ctr"/>
        <c:lblOffset val="100"/>
        <c:noMultiLvlLbl val="0"/>
      </c:catAx>
      <c:valAx>
        <c:axId val="4763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  <a:r>
              <a:rPr lang="en-US" baseline="0"/>
              <a:t> of Aligner Resource to Total Channel Resources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'parallel vs header-seeker-6'!$N$21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header-seeker-6'!$N$22:$N$23</c:f>
              <c:numCache>
                <c:formatCode>0.00%</c:formatCode>
                <c:ptCount val="2"/>
                <c:pt idx="0">
                  <c:v>0.8446081714668453</c:v>
                </c:pt>
                <c:pt idx="1">
                  <c:v>0.61877934272300472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857-47AB-BD45-C4DD6F5DA735}"/>
            </c:ext>
          </c:extLst>
        </c:ser>
        <c:ser>
          <c:idx val="12"/>
          <c:order val="1"/>
          <c:tx>
            <c:strRef>
              <c:f>'parallel vs header-seeker-6'!$O$21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header-seeker-6'!$O$22:$O$23</c:f>
              <c:numCache>
                <c:formatCode>0.00%</c:formatCode>
                <c:ptCount val="2"/>
                <c:pt idx="0">
                  <c:v>0.7859778597785978</c:v>
                </c:pt>
                <c:pt idx="1">
                  <c:v>0.51781472684085506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857-47AB-BD45-C4DD6F5DA735}"/>
            </c:ext>
          </c:extLst>
        </c:ser>
        <c:ser>
          <c:idx val="13"/>
          <c:order val="2"/>
          <c:tx>
            <c:strRef>
              <c:f>'parallel vs header-seeker-6'!$P$21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header-seeker-6'!$P$22:$P$23</c:f>
              <c:numCache>
                <c:formatCode>0.00%</c:formatCode>
                <c:ptCount val="2"/>
                <c:pt idx="0">
                  <c:v>0.75757575757575757</c:v>
                </c:pt>
                <c:pt idx="1">
                  <c:v>0.46437994722955145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857-47AB-BD45-C4DD6F5DA735}"/>
            </c:ext>
          </c:extLst>
        </c:ser>
        <c:ser>
          <c:idx val="14"/>
          <c:order val="3"/>
          <c:tx>
            <c:strRef>
              <c:f>'parallel vs header-seeker-6'!$Q$21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header-seeker-6'!$Q$22:$Q$23</c:f>
              <c:numCache>
                <c:formatCode>0.00%</c:formatCode>
                <c:ptCount val="2"/>
                <c:pt idx="0">
                  <c:v>0.70408163265306123</c:v>
                </c:pt>
                <c:pt idx="1">
                  <c:v>0.34304207119741098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857-47AB-BD45-C4DD6F5DA735}"/>
            </c:ext>
          </c:extLst>
        </c:ser>
        <c:ser>
          <c:idx val="15"/>
          <c:order val="4"/>
          <c:tx>
            <c:strRef>
              <c:f>'parallel vs header-seeker-6'!$R$21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header-seeker-6'!$R$22:$R$23</c:f>
              <c:numCache>
                <c:formatCode>0.00%</c:formatCode>
                <c:ptCount val="2"/>
                <c:pt idx="0">
                  <c:v>0.69525065963060684</c:v>
                </c:pt>
                <c:pt idx="1">
                  <c:v>0.26582278481012656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857-47AB-BD45-C4DD6F5DA735}"/>
            </c:ext>
          </c:extLst>
        </c:ser>
        <c:ser>
          <c:idx val="16"/>
          <c:order val="5"/>
          <c:tx>
            <c:strRef>
              <c:f>'parallel vs header-seeker-6'!$S$21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header-seeker-6'!$S$22:$S$23</c:f>
              <c:numCache>
                <c:formatCode>0.00%</c:formatCode>
                <c:ptCount val="2"/>
                <c:pt idx="0">
                  <c:v>0.66226138032305437</c:v>
                </c:pt>
                <c:pt idx="1">
                  <c:v>0.20857699805068225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857-47AB-BD45-C4DD6F5DA735}"/>
            </c:ext>
          </c:extLst>
        </c:ser>
        <c:ser>
          <c:idx val="17"/>
          <c:order val="6"/>
          <c:tx>
            <c:strRef>
              <c:f>'parallel vs header-seeker-6'!$T$21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header-seeker-6'!$T$22:$T$23</c:f>
              <c:numCache>
                <c:formatCode>0.00%</c:formatCode>
                <c:ptCount val="2"/>
                <c:pt idx="0">
                  <c:v>0.60204081632653061</c:v>
                </c:pt>
                <c:pt idx="1">
                  <c:v>0.17979797979797979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857-47AB-BD45-C4DD6F5DA735}"/>
            </c:ext>
          </c:extLst>
        </c:ser>
        <c:ser>
          <c:idx val="18"/>
          <c:order val="7"/>
          <c:tx>
            <c:strRef>
              <c:f>'parallel vs header-seeker-6'!$U$21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header-seeker-6'!$U$22:$U$23</c:f>
              <c:numCache>
                <c:formatCode>0.00%</c:formatCode>
                <c:ptCount val="2"/>
                <c:pt idx="0">
                  <c:v>0.60271646859083194</c:v>
                </c:pt>
                <c:pt idx="1">
                  <c:v>0.16803278688524589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857-47AB-BD45-C4DD6F5DA7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/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Resources Utilized</a:t>
            </a:r>
            <a:r>
              <a:rPr lang="en-US" baseline="0"/>
              <a:t> vs Blocks Lost During Resync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'parallel vs header-seeker-6'!$X$22</c:f>
              <c:strCache>
                <c:ptCount val="1"/>
                <c:pt idx="0">
                  <c:v>Resource Util</c:v>
                </c:pt>
              </c:strCache>
            </c:strRef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EF6C00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A57-4B6E-A2EC-CAB3A3A5133F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AC1356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A57-4B6E-A2EC-CAB3A3A5133F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6A1B9A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A57-4B6E-A2EC-CAB3A3A5133F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27369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A57-4B6E-A2EC-CAB3A3A5133F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4CB6AC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A57-4B6E-A2EC-CAB3A3A5133F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E727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A57-4B6E-A2EC-CAB3A3A5133F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1C88E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A57-4B6E-A2EC-CAB3A3A5133F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42424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5A57-4B6E-A2EC-CAB3A3A5133F}"/>
              </c:ext>
            </c:extLst>
          </c:dPt>
          <c:xVal>
            <c:numRef>
              <c:f>'parallel vs header-seeker-6'!$Y$21:$AF$21</c:f>
              <c:numCache>
                <c:formatCode>General</c:formatCode>
                <c:ptCount val="8"/>
                <c:pt idx="0">
                  <c:v>26.5</c:v>
                </c:pt>
                <c:pt idx="1">
                  <c:v>27.5</c:v>
                </c:pt>
                <c:pt idx="2">
                  <c:v>27.5</c:v>
                </c:pt>
                <c:pt idx="3">
                  <c:v>28</c:v>
                </c:pt>
                <c:pt idx="4">
                  <c:v>29.5</c:v>
                </c:pt>
                <c:pt idx="5">
                  <c:v>33.5</c:v>
                </c:pt>
                <c:pt idx="6">
                  <c:v>39</c:v>
                </c:pt>
                <c:pt idx="7">
                  <c:v>54</c:v>
                </c:pt>
              </c:numCache>
            </c:numRef>
          </c:xVal>
          <c:yVal>
            <c:numRef>
              <c:f>'parallel vs header-seeker-6'!$Y$22:$AF$22</c:f>
              <c:numCache>
                <c:formatCode>0.00%</c:formatCode>
                <c:ptCount val="8"/>
                <c:pt idx="0">
                  <c:v>1.47E-2</c:v>
                </c:pt>
                <c:pt idx="1">
                  <c:v>1.0699999999999999E-2</c:v>
                </c:pt>
                <c:pt idx="2">
                  <c:v>9.4000000000000004E-3</c:v>
                </c:pt>
                <c:pt idx="3">
                  <c:v>7.7000000000000002E-3</c:v>
                </c:pt>
                <c:pt idx="4">
                  <c:v>7.4999999999999997E-3</c:v>
                </c:pt>
                <c:pt idx="5">
                  <c:v>6.7000000000000002E-3</c:v>
                </c:pt>
                <c:pt idx="6">
                  <c:v>5.7999999999999996E-3</c:v>
                </c:pt>
                <c:pt idx="7">
                  <c:v>5.4000000000000003E-3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1-4B1B-8EE0-AA73FE38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251871"/>
        <c:axId val="1126249791"/>
      </c:scatterChart>
      <c:valAx>
        <c:axId val="1126251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# of Blocks Lost During Resynchronization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49791"/>
        <c:crosses val="autoZero"/>
        <c:crossBetween val="midCat"/>
      </c:valAx>
      <c:valAx>
        <c:axId val="112624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LUT Resource Utilization of Kintex 7 T160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25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26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25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27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27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D7-440C-A712-E6877EBD9304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26</c:v>
                </c:pt>
                <c:pt idx="9">
                  <c:v>27</c:v>
                </c:pt>
                <c:pt idx="10">
                  <c:v>26</c:v>
                </c:pt>
                <c:pt idx="11">
                  <c:v>27</c:v>
                </c:pt>
                <c:pt idx="12">
                  <c:v>27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28</c:v>
                </c:pt>
                <c:pt idx="35">
                  <c:v>27</c:v>
                </c:pt>
                <c:pt idx="36">
                  <c:v>27</c:v>
                </c:pt>
                <c:pt idx="37">
                  <c:v>28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26</c:v>
                </c:pt>
                <c:pt idx="45">
                  <c:v>27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28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D7-440C-A712-E6877EBD9304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26</c:v>
                </c:pt>
                <c:pt idx="27">
                  <c:v>26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26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28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27</c:v>
                </c:pt>
                <c:pt idx="55">
                  <c:v>28</c:v>
                </c:pt>
                <c:pt idx="56">
                  <c:v>28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27</c:v>
                </c:pt>
                <c:pt idx="64">
                  <c:v>27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DD7-440C-A712-E6877EBD9304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26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29</c:v>
                </c:pt>
                <c:pt idx="16">
                  <c:v>27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28</c:v>
                </c:pt>
                <c:pt idx="21">
                  <c:v>27</c:v>
                </c:pt>
                <c:pt idx="22">
                  <c:v>28</c:v>
                </c:pt>
                <c:pt idx="23">
                  <c:v>28</c:v>
                </c:pt>
                <c:pt idx="24">
                  <c:v>29</c:v>
                </c:pt>
                <c:pt idx="25">
                  <c:v>28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27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27</c:v>
                </c:pt>
                <c:pt idx="42">
                  <c:v>28</c:v>
                </c:pt>
                <c:pt idx="43">
                  <c:v>30</c:v>
                </c:pt>
                <c:pt idx="44">
                  <c:v>27</c:v>
                </c:pt>
                <c:pt idx="45">
                  <c:v>29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27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31</c:v>
                </c:pt>
                <c:pt idx="55">
                  <c:v>28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29</c:v>
                </c:pt>
                <c:pt idx="60">
                  <c:v>29</c:v>
                </c:pt>
                <c:pt idx="61">
                  <c:v>29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DD7-440C-A712-E6877EBD9304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header-seeker-6'!$G$2:$G$67</c:f>
              <c:numCache>
                <c:formatCode>General</c:formatCode>
                <c:ptCount val="66"/>
                <c:pt idx="0">
                  <c:v>28</c:v>
                </c:pt>
                <c:pt idx="1">
                  <c:v>29</c:v>
                </c:pt>
                <c:pt idx="2">
                  <c:v>28</c:v>
                </c:pt>
                <c:pt idx="3">
                  <c:v>30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26</c:v>
                </c:pt>
                <c:pt idx="12">
                  <c:v>29</c:v>
                </c:pt>
                <c:pt idx="13">
                  <c:v>29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28</c:v>
                </c:pt>
                <c:pt idx="18">
                  <c:v>29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30</c:v>
                </c:pt>
                <c:pt idx="23">
                  <c:v>29</c:v>
                </c:pt>
                <c:pt idx="24">
                  <c:v>29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28</c:v>
                </c:pt>
                <c:pt idx="33">
                  <c:v>30</c:v>
                </c:pt>
                <c:pt idx="34">
                  <c:v>29</c:v>
                </c:pt>
                <c:pt idx="35">
                  <c:v>31</c:v>
                </c:pt>
                <c:pt idx="36">
                  <c:v>30</c:v>
                </c:pt>
                <c:pt idx="37">
                  <c:v>29</c:v>
                </c:pt>
                <c:pt idx="38">
                  <c:v>28</c:v>
                </c:pt>
                <c:pt idx="39">
                  <c:v>29</c:v>
                </c:pt>
                <c:pt idx="40">
                  <c:v>29</c:v>
                </c:pt>
                <c:pt idx="41">
                  <c:v>33</c:v>
                </c:pt>
                <c:pt idx="42">
                  <c:v>29</c:v>
                </c:pt>
                <c:pt idx="43">
                  <c:v>29</c:v>
                </c:pt>
                <c:pt idx="44">
                  <c:v>29</c:v>
                </c:pt>
                <c:pt idx="45">
                  <c:v>29</c:v>
                </c:pt>
                <c:pt idx="46">
                  <c:v>29</c:v>
                </c:pt>
                <c:pt idx="47">
                  <c:v>32</c:v>
                </c:pt>
                <c:pt idx="48">
                  <c:v>29</c:v>
                </c:pt>
                <c:pt idx="49">
                  <c:v>29</c:v>
                </c:pt>
                <c:pt idx="50">
                  <c:v>29</c:v>
                </c:pt>
                <c:pt idx="51">
                  <c:v>30</c:v>
                </c:pt>
                <c:pt idx="52">
                  <c:v>30</c:v>
                </c:pt>
                <c:pt idx="53">
                  <c:v>33</c:v>
                </c:pt>
                <c:pt idx="54">
                  <c:v>29</c:v>
                </c:pt>
                <c:pt idx="55">
                  <c:v>29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35</c:v>
                </c:pt>
                <c:pt idx="60">
                  <c:v>30</c:v>
                </c:pt>
                <c:pt idx="61">
                  <c:v>29</c:v>
                </c:pt>
                <c:pt idx="62">
                  <c:v>30</c:v>
                </c:pt>
                <c:pt idx="63">
                  <c:v>30</c:v>
                </c:pt>
                <c:pt idx="64">
                  <c:v>29</c:v>
                </c:pt>
                <c:pt idx="65">
                  <c:v>29.25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DD7-440C-A712-E6877EBD9304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33</c:v>
                </c:pt>
                <c:pt idx="5">
                  <c:v>25</c:v>
                </c:pt>
                <c:pt idx="6">
                  <c:v>32</c:v>
                </c:pt>
                <c:pt idx="7">
                  <c:v>33</c:v>
                </c:pt>
                <c:pt idx="8">
                  <c:v>26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33</c:v>
                </c:pt>
                <c:pt idx="13">
                  <c:v>33</c:v>
                </c:pt>
                <c:pt idx="14">
                  <c:v>28</c:v>
                </c:pt>
                <c:pt idx="15">
                  <c:v>34</c:v>
                </c:pt>
                <c:pt idx="16">
                  <c:v>33</c:v>
                </c:pt>
                <c:pt idx="17">
                  <c:v>30</c:v>
                </c:pt>
                <c:pt idx="18">
                  <c:v>34</c:v>
                </c:pt>
                <c:pt idx="19">
                  <c:v>33</c:v>
                </c:pt>
                <c:pt idx="20">
                  <c:v>29</c:v>
                </c:pt>
                <c:pt idx="21">
                  <c:v>32</c:v>
                </c:pt>
                <c:pt idx="22">
                  <c:v>32</c:v>
                </c:pt>
                <c:pt idx="23">
                  <c:v>31</c:v>
                </c:pt>
                <c:pt idx="24">
                  <c:v>34</c:v>
                </c:pt>
                <c:pt idx="25">
                  <c:v>33</c:v>
                </c:pt>
                <c:pt idx="26">
                  <c:v>32</c:v>
                </c:pt>
                <c:pt idx="27">
                  <c:v>35</c:v>
                </c:pt>
                <c:pt idx="28">
                  <c:v>34</c:v>
                </c:pt>
                <c:pt idx="29">
                  <c:v>33</c:v>
                </c:pt>
                <c:pt idx="30">
                  <c:v>33</c:v>
                </c:pt>
                <c:pt idx="31">
                  <c:v>34</c:v>
                </c:pt>
                <c:pt idx="32">
                  <c:v>34</c:v>
                </c:pt>
                <c:pt idx="33">
                  <c:v>35</c:v>
                </c:pt>
                <c:pt idx="34">
                  <c:v>34</c:v>
                </c:pt>
                <c:pt idx="35">
                  <c:v>36</c:v>
                </c:pt>
                <c:pt idx="36">
                  <c:v>33</c:v>
                </c:pt>
                <c:pt idx="37">
                  <c:v>33</c:v>
                </c:pt>
                <c:pt idx="38">
                  <c:v>37</c:v>
                </c:pt>
                <c:pt idx="39">
                  <c:v>32</c:v>
                </c:pt>
                <c:pt idx="40">
                  <c:v>35</c:v>
                </c:pt>
                <c:pt idx="41">
                  <c:v>38</c:v>
                </c:pt>
                <c:pt idx="42">
                  <c:v>34</c:v>
                </c:pt>
                <c:pt idx="43">
                  <c:v>34</c:v>
                </c:pt>
                <c:pt idx="44">
                  <c:v>38</c:v>
                </c:pt>
                <c:pt idx="45">
                  <c:v>33</c:v>
                </c:pt>
                <c:pt idx="46">
                  <c:v>33</c:v>
                </c:pt>
                <c:pt idx="47">
                  <c:v>40</c:v>
                </c:pt>
                <c:pt idx="48">
                  <c:v>33</c:v>
                </c:pt>
                <c:pt idx="49">
                  <c:v>34</c:v>
                </c:pt>
                <c:pt idx="50">
                  <c:v>40</c:v>
                </c:pt>
                <c:pt idx="51">
                  <c:v>34</c:v>
                </c:pt>
                <c:pt idx="52">
                  <c:v>33</c:v>
                </c:pt>
                <c:pt idx="53">
                  <c:v>41</c:v>
                </c:pt>
                <c:pt idx="54">
                  <c:v>35</c:v>
                </c:pt>
                <c:pt idx="55">
                  <c:v>34</c:v>
                </c:pt>
                <c:pt idx="56">
                  <c:v>42</c:v>
                </c:pt>
                <c:pt idx="57">
                  <c:v>33</c:v>
                </c:pt>
                <c:pt idx="58">
                  <c:v>33</c:v>
                </c:pt>
                <c:pt idx="59">
                  <c:v>44</c:v>
                </c:pt>
                <c:pt idx="60">
                  <c:v>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DD7-440C-A712-E6877EBD9304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39</c:v>
                </c:pt>
                <c:pt idx="1">
                  <c:v>38</c:v>
                </c:pt>
                <c:pt idx="2">
                  <c:v>39</c:v>
                </c:pt>
                <c:pt idx="3">
                  <c:v>38</c:v>
                </c:pt>
                <c:pt idx="4">
                  <c:v>39</c:v>
                </c:pt>
                <c:pt idx="5">
                  <c:v>37</c:v>
                </c:pt>
                <c:pt idx="6">
                  <c:v>39</c:v>
                </c:pt>
                <c:pt idx="7">
                  <c:v>40</c:v>
                </c:pt>
                <c:pt idx="8">
                  <c:v>36</c:v>
                </c:pt>
                <c:pt idx="9">
                  <c:v>38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37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40</c:v>
                </c:pt>
                <c:pt idx="18">
                  <c:v>36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36</c:v>
                </c:pt>
                <c:pt idx="23">
                  <c:v>38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37</c:v>
                </c:pt>
                <c:pt idx="28">
                  <c:v>38</c:v>
                </c:pt>
                <c:pt idx="29">
                  <c:v>41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37</c:v>
                </c:pt>
                <c:pt idx="34">
                  <c:v>38</c:v>
                </c:pt>
                <c:pt idx="35">
                  <c:v>37</c:v>
                </c:pt>
                <c:pt idx="36">
                  <c:v>38</c:v>
                </c:pt>
                <c:pt idx="37">
                  <c:v>41</c:v>
                </c:pt>
                <c:pt idx="38">
                  <c:v>38</c:v>
                </c:pt>
                <c:pt idx="39">
                  <c:v>38</c:v>
                </c:pt>
                <c:pt idx="40">
                  <c:v>40</c:v>
                </c:pt>
                <c:pt idx="41">
                  <c:v>40</c:v>
                </c:pt>
                <c:pt idx="42">
                  <c:v>39</c:v>
                </c:pt>
                <c:pt idx="43">
                  <c:v>37</c:v>
                </c:pt>
                <c:pt idx="44">
                  <c:v>38</c:v>
                </c:pt>
                <c:pt idx="45">
                  <c:v>40</c:v>
                </c:pt>
                <c:pt idx="46">
                  <c:v>38</c:v>
                </c:pt>
                <c:pt idx="47">
                  <c:v>39</c:v>
                </c:pt>
                <c:pt idx="48">
                  <c:v>38</c:v>
                </c:pt>
                <c:pt idx="49">
                  <c:v>38</c:v>
                </c:pt>
                <c:pt idx="50">
                  <c:v>39</c:v>
                </c:pt>
                <c:pt idx="51">
                  <c:v>39</c:v>
                </c:pt>
                <c:pt idx="52">
                  <c:v>40</c:v>
                </c:pt>
                <c:pt idx="53">
                  <c:v>39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39</c:v>
                </c:pt>
                <c:pt idx="58">
                  <c:v>39</c:v>
                </c:pt>
                <c:pt idx="59">
                  <c:v>40</c:v>
                </c:pt>
                <c:pt idx="60">
                  <c:v>39</c:v>
                </c:pt>
                <c:pt idx="61">
                  <c:v>39</c:v>
                </c:pt>
                <c:pt idx="62">
                  <c:v>39</c:v>
                </c:pt>
                <c:pt idx="63">
                  <c:v>39</c:v>
                </c:pt>
                <c:pt idx="64">
                  <c:v>38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DD7-440C-A712-E6877EBD9304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header-seeker-6'!$J$2:$J$66</c:f>
              <c:numCache>
                <c:formatCode>General</c:formatCode>
                <c:ptCount val="65"/>
                <c:pt idx="0">
                  <c:v>21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33</c:v>
                </c:pt>
                <c:pt idx="13">
                  <c:v>35</c:v>
                </c:pt>
                <c:pt idx="14">
                  <c:v>35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41</c:v>
                </c:pt>
                <c:pt idx="19">
                  <c:v>41</c:v>
                </c:pt>
                <c:pt idx="20">
                  <c:v>42</c:v>
                </c:pt>
                <c:pt idx="21">
                  <c:v>42</c:v>
                </c:pt>
                <c:pt idx="22">
                  <c:v>43</c:v>
                </c:pt>
                <c:pt idx="23">
                  <c:v>45</c:v>
                </c:pt>
                <c:pt idx="24">
                  <c:v>48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50</c:v>
                </c:pt>
                <c:pt idx="29">
                  <c:v>52</c:v>
                </c:pt>
                <c:pt idx="30">
                  <c:v>51</c:v>
                </c:pt>
                <c:pt idx="31">
                  <c:v>54</c:v>
                </c:pt>
                <c:pt idx="32">
                  <c:v>53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61</c:v>
                </c:pt>
                <c:pt idx="37">
                  <c:v>59</c:v>
                </c:pt>
                <c:pt idx="38">
                  <c:v>59</c:v>
                </c:pt>
                <c:pt idx="39">
                  <c:v>60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66</c:v>
                </c:pt>
                <c:pt idx="44">
                  <c:v>67</c:v>
                </c:pt>
                <c:pt idx="45">
                  <c:v>67</c:v>
                </c:pt>
                <c:pt idx="46">
                  <c:v>68</c:v>
                </c:pt>
                <c:pt idx="47">
                  <c:v>69</c:v>
                </c:pt>
                <c:pt idx="48">
                  <c:v>71</c:v>
                </c:pt>
                <c:pt idx="49">
                  <c:v>70</c:v>
                </c:pt>
                <c:pt idx="50">
                  <c:v>72</c:v>
                </c:pt>
                <c:pt idx="51">
                  <c:v>72</c:v>
                </c:pt>
                <c:pt idx="52">
                  <c:v>74</c:v>
                </c:pt>
                <c:pt idx="53">
                  <c:v>76</c:v>
                </c:pt>
                <c:pt idx="54">
                  <c:v>78</c:v>
                </c:pt>
                <c:pt idx="55">
                  <c:v>76</c:v>
                </c:pt>
                <c:pt idx="56">
                  <c:v>78</c:v>
                </c:pt>
                <c:pt idx="57">
                  <c:v>79</c:v>
                </c:pt>
                <c:pt idx="58">
                  <c:v>78</c:v>
                </c:pt>
                <c:pt idx="59">
                  <c:v>82</c:v>
                </c:pt>
                <c:pt idx="60">
                  <c:v>82</c:v>
                </c:pt>
                <c:pt idx="61">
                  <c:v>86</c:v>
                </c:pt>
                <c:pt idx="62">
                  <c:v>87</c:v>
                </c:pt>
                <c:pt idx="63">
                  <c:v>86</c:v>
                </c:pt>
                <c:pt idx="64">
                  <c:v>85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DD7-440C-A712-E6877EBD9304}"/>
            </c:ext>
          </c:extLst>
        </c:ser>
        <c:ser>
          <c:idx val="3"/>
          <c:order val="8"/>
          <c:tx>
            <c:strRef>
              <c:f>'parallel vs header-seeker-6'!$K$1</c:f>
              <c:strCache>
                <c:ptCount val="1"/>
                <c:pt idx="0">
                  <c:v>Original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74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header-seeker-6'!$K$2:$K$66</c:f>
              <c:numCache>
                <c:formatCode>General</c:formatCode>
                <c:ptCount val="65"/>
                <c:pt idx="0">
                  <c:v>69</c:v>
                </c:pt>
                <c:pt idx="1">
                  <c:v>105</c:v>
                </c:pt>
                <c:pt idx="2">
                  <c:v>184</c:v>
                </c:pt>
                <c:pt idx="3">
                  <c:v>255</c:v>
                </c:pt>
                <c:pt idx="4">
                  <c:v>343</c:v>
                </c:pt>
                <c:pt idx="5">
                  <c:v>428</c:v>
                </c:pt>
                <c:pt idx="6">
                  <c:v>487</c:v>
                </c:pt>
                <c:pt idx="7">
                  <c:v>558</c:v>
                </c:pt>
                <c:pt idx="8">
                  <c:v>635</c:v>
                </c:pt>
                <c:pt idx="9">
                  <c:v>738</c:v>
                </c:pt>
                <c:pt idx="10">
                  <c:v>798</c:v>
                </c:pt>
                <c:pt idx="11">
                  <c:v>874</c:v>
                </c:pt>
                <c:pt idx="12">
                  <c:v>980</c:v>
                </c:pt>
                <c:pt idx="13">
                  <c:v>1031</c:v>
                </c:pt>
                <c:pt idx="14">
                  <c:v>1106</c:v>
                </c:pt>
                <c:pt idx="15">
                  <c:v>1206</c:v>
                </c:pt>
                <c:pt idx="16">
                  <c:v>1256</c:v>
                </c:pt>
                <c:pt idx="17">
                  <c:v>1372</c:v>
                </c:pt>
                <c:pt idx="18">
                  <c:v>1425</c:v>
                </c:pt>
                <c:pt idx="19">
                  <c:v>1526</c:v>
                </c:pt>
                <c:pt idx="20">
                  <c:v>1557</c:v>
                </c:pt>
                <c:pt idx="21">
                  <c:v>1681</c:v>
                </c:pt>
                <c:pt idx="22">
                  <c:v>1758</c:v>
                </c:pt>
                <c:pt idx="23">
                  <c:v>1837</c:v>
                </c:pt>
                <c:pt idx="24">
                  <c:v>1927</c:v>
                </c:pt>
                <c:pt idx="25">
                  <c:v>1999</c:v>
                </c:pt>
                <c:pt idx="26">
                  <c:v>2098</c:v>
                </c:pt>
                <c:pt idx="27">
                  <c:v>2138</c:v>
                </c:pt>
                <c:pt idx="28">
                  <c:v>2206</c:v>
                </c:pt>
                <c:pt idx="29">
                  <c:v>2345</c:v>
                </c:pt>
                <c:pt idx="30">
                  <c:v>2405</c:v>
                </c:pt>
                <c:pt idx="31">
                  <c:v>2441</c:v>
                </c:pt>
                <c:pt idx="32">
                  <c:v>2541</c:v>
                </c:pt>
                <c:pt idx="33">
                  <c:v>2644</c:v>
                </c:pt>
                <c:pt idx="34">
                  <c:v>2701</c:v>
                </c:pt>
                <c:pt idx="35">
                  <c:v>2728</c:v>
                </c:pt>
                <c:pt idx="36">
                  <c:v>2826</c:v>
                </c:pt>
                <c:pt idx="37">
                  <c:v>2907</c:v>
                </c:pt>
                <c:pt idx="38">
                  <c:v>3037</c:v>
                </c:pt>
                <c:pt idx="39">
                  <c:v>3012</c:v>
                </c:pt>
                <c:pt idx="40">
                  <c:v>3154</c:v>
                </c:pt>
                <c:pt idx="41">
                  <c:v>3283</c:v>
                </c:pt>
                <c:pt idx="42">
                  <c:v>3310</c:v>
                </c:pt>
                <c:pt idx="43">
                  <c:v>3404</c:v>
                </c:pt>
                <c:pt idx="44">
                  <c:v>3421</c:v>
                </c:pt>
                <c:pt idx="45">
                  <c:v>3592</c:v>
                </c:pt>
                <c:pt idx="46">
                  <c:v>3650</c:v>
                </c:pt>
                <c:pt idx="47">
                  <c:v>3736</c:v>
                </c:pt>
                <c:pt idx="48">
                  <c:v>3811</c:v>
                </c:pt>
                <c:pt idx="49">
                  <c:v>3870</c:v>
                </c:pt>
                <c:pt idx="50">
                  <c:v>3976</c:v>
                </c:pt>
                <c:pt idx="51">
                  <c:v>4005</c:v>
                </c:pt>
                <c:pt idx="52">
                  <c:v>4083</c:v>
                </c:pt>
                <c:pt idx="53">
                  <c:v>4162</c:v>
                </c:pt>
                <c:pt idx="54">
                  <c:v>4289</c:v>
                </c:pt>
                <c:pt idx="55">
                  <c:v>4330</c:v>
                </c:pt>
                <c:pt idx="56">
                  <c:v>4417</c:v>
                </c:pt>
                <c:pt idx="57">
                  <c:v>4500</c:v>
                </c:pt>
                <c:pt idx="58">
                  <c:v>4571</c:v>
                </c:pt>
                <c:pt idx="59">
                  <c:v>4631</c:v>
                </c:pt>
                <c:pt idx="60">
                  <c:v>4727</c:v>
                </c:pt>
                <c:pt idx="61">
                  <c:v>2526</c:v>
                </c:pt>
                <c:pt idx="62">
                  <c:v>2371</c:v>
                </c:pt>
                <c:pt idx="63">
                  <c:v>2294</c:v>
                </c:pt>
                <c:pt idx="64">
                  <c:v>1685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DD7-440C-A712-E6877EBD9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/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F6C00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'parallel vs header-seeker-6'!$C$2:$C$12</c:f>
              <c:numCache>
                <c:formatCode>General</c:formatCode>
                <c:ptCount val="11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448-4262-A1CA-8C1E6A43C262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CB6AC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'parallel vs header-seeker-6'!$G$2:$G$12</c:f>
              <c:numCache>
                <c:formatCode>General</c:formatCode>
                <c:ptCount val="11"/>
                <c:pt idx="0">
                  <c:v>28</c:v>
                </c:pt>
                <c:pt idx="1">
                  <c:v>29</c:v>
                </c:pt>
                <c:pt idx="2">
                  <c:v>28</c:v>
                </c:pt>
                <c:pt idx="3">
                  <c:v>30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448-4262-A1CA-8C1E6A43C262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E727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'parallel vs header-seeker-6'!$H$2:$H$12</c:f>
              <c:numCache>
                <c:formatCode>General</c:formatCode>
                <c:ptCount val="11"/>
                <c:pt idx="0">
                  <c:v>33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33</c:v>
                </c:pt>
                <c:pt idx="5">
                  <c:v>25</c:v>
                </c:pt>
                <c:pt idx="6">
                  <c:v>32</c:v>
                </c:pt>
                <c:pt idx="7">
                  <c:v>33</c:v>
                </c:pt>
                <c:pt idx="8">
                  <c:v>26</c:v>
                </c:pt>
                <c:pt idx="9">
                  <c:v>33</c:v>
                </c:pt>
                <c:pt idx="10">
                  <c:v>33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448-4262-A1CA-8C1E6A43C262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2424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'parallel vs header-seeker-6'!$J$2:$J$12</c:f>
              <c:numCache>
                <c:formatCode>General</c:formatCode>
                <c:ptCount val="11"/>
                <c:pt idx="0">
                  <c:v>21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448-4262-A1CA-8C1E6A43C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'parallel vs header-seeker-6'!$D$1</c15:sqref>
                        </c15:formulaRef>
                      </c:ext>
                    </c:extLst>
                    <c:strCache>
                      <c:ptCount val="1"/>
                      <c:pt idx="0">
                        <c:v>HS33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AC1356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'parallel vs header-seeker-6'!$D$2:$D$12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26</c:v>
                      </c:pt>
                      <c:pt idx="1">
                        <c:v>26</c:v>
                      </c:pt>
                      <c:pt idx="2">
                        <c:v>27</c:v>
                      </c:pt>
                      <c:pt idx="3">
                        <c:v>27</c:v>
                      </c:pt>
                      <c:pt idx="4">
                        <c:v>27</c:v>
                      </c:pt>
                      <c:pt idx="5">
                        <c:v>27</c:v>
                      </c:pt>
                      <c:pt idx="6">
                        <c:v>27</c:v>
                      </c:pt>
                      <c:pt idx="7">
                        <c:v>27</c:v>
                      </c:pt>
                      <c:pt idx="8">
                        <c:v>26</c:v>
                      </c:pt>
                      <c:pt idx="9">
                        <c:v>27</c:v>
                      </c:pt>
                      <c:pt idx="10">
                        <c:v>26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448-4262-A1CA-8C1E6A43C262}"/>
                  </c:ext>
                </c:extLst>
              </c15:ser>
            </c15:filteredScatterSeries>
            <c15:filteredScatterSeries>
              <c15:ser>
                <c:idx val="6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header-seeker-6'!$E$1</c15:sqref>
                        </c15:formulaRef>
                      </c:ext>
                    </c:extLst>
                    <c:strCache>
                      <c:ptCount val="1"/>
                      <c:pt idx="0">
                        <c:v>HS22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6A1B9A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header-seeker-6'!$E$2:$E$12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26</c:v>
                      </c:pt>
                      <c:pt idx="1">
                        <c:v>26</c:v>
                      </c:pt>
                      <c:pt idx="2">
                        <c:v>27</c:v>
                      </c:pt>
                      <c:pt idx="3">
                        <c:v>27</c:v>
                      </c:pt>
                      <c:pt idx="4">
                        <c:v>27</c:v>
                      </c:pt>
                      <c:pt idx="5">
                        <c:v>27</c:v>
                      </c:pt>
                      <c:pt idx="6">
                        <c:v>27</c:v>
                      </c:pt>
                      <c:pt idx="7">
                        <c:v>27</c:v>
                      </c:pt>
                      <c:pt idx="8">
                        <c:v>27</c:v>
                      </c:pt>
                      <c:pt idx="9">
                        <c:v>27</c:v>
                      </c:pt>
                      <c:pt idx="10">
                        <c:v>27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448-4262-A1CA-8C1E6A43C262}"/>
                  </c:ext>
                </c:extLst>
              </c15:ser>
            </c15:filteredScatterSeries>
            <c15:filteredScatterSeries>
              <c15:ser>
                <c:idx val="7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header-seeker-6'!$F$1</c15:sqref>
                        </c15:formulaRef>
                      </c:ext>
                    </c:extLst>
                    <c:strCache>
                      <c:ptCount val="1"/>
                      <c:pt idx="0">
                        <c:v>HS11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273693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header-seeker-6'!$F$2:$F$12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28</c:v>
                      </c:pt>
                      <c:pt idx="1">
                        <c:v>28</c:v>
                      </c:pt>
                      <c:pt idx="2">
                        <c:v>28</c:v>
                      </c:pt>
                      <c:pt idx="3">
                        <c:v>28</c:v>
                      </c:pt>
                      <c:pt idx="4">
                        <c:v>28</c:v>
                      </c:pt>
                      <c:pt idx="5">
                        <c:v>28</c:v>
                      </c:pt>
                      <c:pt idx="6">
                        <c:v>28</c:v>
                      </c:pt>
                      <c:pt idx="7">
                        <c:v>28</c:v>
                      </c:pt>
                      <c:pt idx="8">
                        <c:v>27</c:v>
                      </c:pt>
                      <c:pt idx="9">
                        <c:v>28</c:v>
                      </c:pt>
                      <c:pt idx="10">
                        <c:v>26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6448-4262-A1CA-8C1E6A43C262}"/>
                  </c:ext>
                </c:extLst>
              </c15:ser>
            </c15:filteredScatterSeries>
            <c15:filteredScatterSeries>
              <c15:ser>
                <c:idx val="8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header-seeker-6'!$I$1</c15:sqref>
                        </c15:formulaRef>
                      </c:ext>
                    </c:extLst>
                    <c:strCache>
                      <c:ptCount val="1"/>
                      <c:pt idx="0">
                        <c:v>HS2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1C88E3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header-seeker-6'!$I$2:$I$12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39</c:v>
                      </c:pt>
                      <c:pt idx="1">
                        <c:v>38</c:v>
                      </c:pt>
                      <c:pt idx="2">
                        <c:v>39</c:v>
                      </c:pt>
                      <c:pt idx="3">
                        <c:v>38</c:v>
                      </c:pt>
                      <c:pt idx="4">
                        <c:v>39</c:v>
                      </c:pt>
                      <c:pt idx="5">
                        <c:v>37</c:v>
                      </c:pt>
                      <c:pt idx="6">
                        <c:v>39</c:v>
                      </c:pt>
                      <c:pt idx="7">
                        <c:v>40</c:v>
                      </c:pt>
                      <c:pt idx="8">
                        <c:v>36</c:v>
                      </c:pt>
                      <c:pt idx="9">
                        <c:v>38</c:v>
                      </c:pt>
                      <c:pt idx="10">
                        <c:v>39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6448-4262-A1CA-8C1E6A43C262}"/>
                  </c:ext>
                </c:extLst>
              </c15:ser>
            </c15:filteredScatterSeries>
            <c15:filteredScatterSeries>
              <c15:ser>
                <c:idx val="3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header-seeker-6'!$K$1</c15:sqref>
                        </c15:formulaRef>
                      </c:ext>
                    </c:extLst>
                    <c:strCache>
                      <c:ptCount val="1"/>
                      <c:pt idx="0">
                        <c:v>Original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C746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header-seeker-6'!$K$2:$K$12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69</c:v>
                      </c:pt>
                      <c:pt idx="1">
                        <c:v>105</c:v>
                      </c:pt>
                      <c:pt idx="2">
                        <c:v>184</c:v>
                      </c:pt>
                      <c:pt idx="3">
                        <c:v>255</c:v>
                      </c:pt>
                      <c:pt idx="4">
                        <c:v>343</c:v>
                      </c:pt>
                      <c:pt idx="5">
                        <c:v>428</c:v>
                      </c:pt>
                      <c:pt idx="6">
                        <c:v>487</c:v>
                      </c:pt>
                      <c:pt idx="7">
                        <c:v>558</c:v>
                      </c:pt>
                      <c:pt idx="8">
                        <c:v>635</c:v>
                      </c:pt>
                      <c:pt idx="9">
                        <c:v>738</c:v>
                      </c:pt>
                      <c:pt idx="10">
                        <c:v>798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448-4262-A1CA-8C1E6A43C262}"/>
                  </c:ext>
                </c:extLst>
              </c15:ser>
            </c15:filteredScatterSeries>
          </c:ext>
        </c:extLst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Offsets of </a:t>
            </a:r>
            <a:r>
              <a:rPr lang="en-US" i="1" baseline="0"/>
              <a:t>3m </a:t>
            </a:r>
            <a:r>
              <a:rPr lang="en-US" i="0" baseline="0"/>
              <a:t>in </a:t>
            </a:r>
            <a:r>
              <a:rPr lang="en-US" i="1" baseline="0"/>
              <a:t>HS3</a:t>
            </a:r>
            <a:endParaRPr lang="en-US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Sheet3!$B$1</c:f>
              <c:strCache>
                <c:ptCount val="1"/>
                <c:pt idx="0">
                  <c:v>First Two Offsets of Every Three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EB8B8"/>
              </a:solidFill>
              <a:ln w="9525">
                <a:noFill/>
                <a:round/>
              </a:ln>
              <a:effectLst/>
            </c:spPr>
          </c:marker>
          <c:xVal>
            <c:numRef>
              <c:f>Sheet3!$A$2:$A$66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3">
                  <c:v>4</c:v>
                </c:pt>
                <c:pt idx="4">
                  <c:v>5</c:v>
                </c:pt>
                <c:pt idx="6">
                  <c:v>7</c:v>
                </c:pt>
                <c:pt idx="7">
                  <c:v>8</c:v>
                </c:pt>
                <c:pt idx="9">
                  <c:v>10</c:v>
                </c:pt>
                <c:pt idx="10">
                  <c:v>11</c:v>
                </c:pt>
                <c:pt idx="12">
                  <c:v>13</c:v>
                </c:pt>
                <c:pt idx="13">
                  <c:v>14</c:v>
                </c:pt>
                <c:pt idx="15">
                  <c:v>16</c:v>
                </c:pt>
                <c:pt idx="16">
                  <c:v>17</c:v>
                </c:pt>
                <c:pt idx="18">
                  <c:v>19</c:v>
                </c:pt>
                <c:pt idx="19">
                  <c:v>20</c:v>
                </c:pt>
                <c:pt idx="21">
                  <c:v>22</c:v>
                </c:pt>
                <c:pt idx="22">
                  <c:v>23</c:v>
                </c:pt>
                <c:pt idx="24">
                  <c:v>25</c:v>
                </c:pt>
                <c:pt idx="25">
                  <c:v>26</c:v>
                </c:pt>
                <c:pt idx="27">
                  <c:v>28</c:v>
                </c:pt>
                <c:pt idx="28">
                  <c:v>29</c:v>
                </c:pt>
                <c:pt idx="30">
                  <c:v>31</c:v>
                </c:pt>
                <c:pt idx="31">
                  <c:v>32</c:v>
                </c:pt>
                <c:pt idx="33">
                  <c:v>34</c:v>
                </c:pt>
                <c:pt idx="34">
                  <c:v>35</c:v>
                </c:pt>
                <c:pt idx="36">
                  <c:v>37</c:v>
                </c:pt>
                <c:pt idx="37">
                  <c:v>38</c:v>
                </c:pt>
                <c:pt idx="39">
                  <c:v>40</c:v>
                </c:pt>
                <c:pt idx="40">
                  <c:v>41</c:v>
                </c:pt>
                <c:pt idx="42">
                  <c:v>43</c:v>
                </c:pt>
                <c:pt idx="43">
                  <c:v>44</c:v>
                </c:pt>
                <c:pt idx="45">
                  <c:v>46</c:v>
                </c:pt>
                <c:pt idx="46">
                  <c:v>47</c:v>
                </c:pt>
                <c:pt idx="48">
                  <c:v>49</c:v>
                </c:pt>
                <c:pt idx="49">
                  <c:v>50</c:v>
                </c:pt>
                <c:pt idx="51">
                  <c:v>52</c:v>
                </c:pt>
                <c:pt idx="52">
                  <c:v>53</c:v>
                </c:pt>
                <c:pt idx="54">
                  <c:v>55</c:v>
                </c:pt>
                <c:pt idx="55">
                  <c:v>56</c:v>
                </c:pt>
                <c:pt idx="57">
                  <c:v>58</c:v>
                </c:pt>
                <c:pt idx="58">
                  <c:v>59</c:v>
                </c:pt>
                <c:pt idx="60">
                  <c:v>61</c:v>
                </c:pt>
                <c:pt idx="61">
                  <c:v>62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Sheet3!$B$2:$B$66</c:f>
              <c:numCache>
                <c:formatCode>General</c:formatCode>
                <c:ptCount val="65"/>
                <c:pt idx="0">
                  <c:v>33</c:v>
                </c:pt>
                <c:pt idx="1">
                  <c:v>32</c:v>
                </c:pt>
                <c:pt idx="3">
                  <c:v>34</c:v>
                </c:pt>
                <c:pt idx="4">
                  <c:v>33</c:v>
                </c:pt>
                <c:pt idx="6">
                  <c:v>32</c:v>
                </c:pt>
                <c:pt idx="7">
                  <c:v>33</c:v>
                </c:pt>
                <c:pt idx="9">
                  <c:v>33</c:v>
                </c:pt>
                <c:pt idx="10">
                  <c:v>33</c:v>
                </c:pt>
                <c:pt idx="12">
                  <c:v>33</c:v>
                </c:pt>
                <c:pt idx="13">
                  <c:v>33</c:v>
                </c:pt>
                <c:pt idx="15">
                  <c:v>34</c:v>
                </c:pt>
                <c:pt idx="16">
                  <c:v>33</c:v>
                </c:pt>
                <c:pt idx="18">
                  <c:v>34</c:v>
                </c:pt>
                <c:pt idx="19">
                  <c:v>33</c:v>
                </c:pt>
                <c:pt idx="21">
                  <c:v>32</c:v>
                </c:pt>
                <c:pt idx="22">
                  <c:v>32</c:v>
                </c:pt>
                <c:pt idx="24">
                  <c:v>34</c:v>
                </c:pt>
                <c:pt idx="25">
                  <c:v>33</c:v>
                </c:pt>
                <c:pt idx="27">
                  <c:v>35</c:v>
                </c:pt>
                <c:pt idx="28">
                  <c:v>34</c:v>
                </c:pt>
                <c:pt idx="30">
                  <c:v>33</c:v>
                </c:pt>
                <c:pt idx="31">
                  <c:v>34</c:v>
                </c:pt>
                <c:pt idx="33">
                  <c:v>35</c:v>
                </c:pt>
                <c:pt idx="34">
                  <c:v>34</c:v>
                </c:pt>
                <c:pt idx="36">
                  <c:v>33</c:v>
                </c:pt>
                <c:pt idx="37">
                  <c:v>33</c:v>
                </c:pt>
                <c:pt idx="39">
                  <c:v>32</c:v>
                </c:pt>
                <c:pt idx="40">
                  <c:v>35</c:v>
                </c:pt>
                <c:pt idx="42">
                  <c:v>34</c:v>
                </c:pt>
                <c:pt idx="43">
                  <c:v>34</c:v>
                </c:pt>
                <c:pt idx="45">
                  <c:v>33</c:v>
                </c:pt>
                <c:pt idx="46">
                  <c:v>33</c:v>
                </c:pt>
                <c:pt idx="48">
                  <c:v>33</c:v>
                </c:pt>
                <c:pt idx="49">
                  <c:v>34</c:v>
                </c:pt>
                <c:pt idx="51">
                  <c:v>34</c:v>
                </c:pt>
                <c:pt idx="52">
                  <c:v>33</c:v>
                </c:pt>
                <c:pt idx="54">
                  <c:v>35</c:v>
                </c:pt>
                <c:pt idx="55">
                  <c:v>34</c:v>
                </c:pt>
                <c:pt idx="57">
                  <c:v>33</c:v>
                </c:pt>
                <c:pt idx="58">
                  <c:v>33</c:v>
                </c:pt>
                <c:pt idx="60">
                  <c:v>34</c:v>
                </c:pt>
                <c:pt idx="61">
                  <c:v>34</c:v>
                </c:pt>
                <c:pt idx="63">
                  <c:v>33</c:v>
                </c:pt>
                <c:pt idx="64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B3-40B7-B689-EA7AC1E0601D}"/>
            </c:ext>
          </c:extLst>
        </c:ser>
        <c:ser>
          <c:idx val="0"/>
          <c:order val="1"/>
          <c:tx>
            <c:strRef>
              <c:f>Sheet3!$E$1</c:f>
              <c:strCache>
                <c:ptCount val="1"/>
                <c:pt idx="0">
                  <c:v>Every Third Offset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D0707"/>
              </a:solidFill>
              <a:ln w="9525">
                <a:noFill/>
                <a:round/>
              </a:ln>
              <a:effectLst/>
            </c:spPr>
          </c:marker>
          <c:xVal>
            <c:numRef>
              <c:f>Sheet3!$D$2:$D$22</c:f>
              <c:numCache>
                <c:formatCode>General</c:formatCode>
                <c:ptCount val="21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15</c:v>
                </c:pt>
                <c:pt idx="5">
                  <c:v>18</c:v>
                </c:pt>
                <c:pt idx="6">
                  <c:v>21</c:v>
                </c:pt>
                <c:pt idx="7">
                  <c:v>24</c:v>
                </c:pt>
                <c:pt idx="8">
                  <c:v>27</c:v>
                </c:pt>
                <c:pt idx="9">
                  <c:v>30</c:v>
                </c:pt>
                <c:pt idx="10">
                  <c:v>33</c:v>
                </c:pt>
                <c:pt idx="11">
                  <c:v>36</c:v>
                </c:pt>
                <c:pt idx="12">
                  <c:v>39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51</c:v>
                </c:pt>
                <c:pt idx="17">
                  <c:v>54</c:v>
                </c:pt>
                <c:pt idx="18">
                  <c:v>57</c:v>
                </c:pt>
                <c:pt idx="19">
                  <c:v>60</c:v>
                </c:pt>
                <c:pt idx="20">
                  <c:v>63</c:v>
                </c:pt>
              </c:numCache>
            </c:numRef>
          </c:xVal>
          <c:yVal>
            <c:numRef>
              <c:f>Sheet3!$E$2:$E$22</c:f>
              <c:numCache>
                <c:formatCode>General</c:formatCode>
                <c:ptCount val="21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29</c:v>
                </c:pt>
                <c:pt idx="7">
                  <c:v>31</c:v>
                </c:pt>
                <c:pt idx="8">
                  <c:v>32</c:v>
                </c:pt>
                <c:pt idx="9">
                  <c:v>33</c:v>
                </c:pt>
                <c:pt idx="10">
                  <c:v>34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38</c:v>
                </c:pt>
                <c:pt idx="15">
                  <c:v>40</c:v>
                </c:pt>
                <c:pt idx="16">
                  <c:v>40</c:v>
                </c:pt>
                <c:pt idx="17">
                  <c:v>41</c:v>
                </c:pt>
                <c:pt idx="18">
                  <c:v>42</c:v>
                </c:pt>
                <c:pt idx="19">
                  <c:v>44</c:v>
                </c:pt>
                <c:pt idx="20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B3-40B7-B689-EA7AC1E06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145152"/>
        <c:axId val="1993145568"/>
      </c:scatterChart>
      <c:valAx>
        <c:axId val="199314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145568"/>
        <c:crosses val="autoZero"/>
        <c:crossBetween val="midCat"/>
      </c:valAx>
      <c:valAx>
        <c:axId val="19931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14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442632</xdr:colOff>
      <xdr:row>10</xdr:row>
      <xdr:rowOff>51547</xdr:rowOff>
    </xdr:from>
    <xdr:to>
      <xdr:col>15</xdr:col>
      <xdr:colOff>173691</xdr:colOff>
      <xdr:row>33</xdr:row>
      <xdr:rowOff>4482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217394</xdr:colOff>
      <xdr:row>62</xdr:row>
      <xdr:rowOff>22412</xdr:rowOff>
    </xdr:from>
    <xdr:to>
      <xdr:col>17</xdr:col>
      <xdr:colOff>475129</xdr:colOff>
      <xdr:row>84</xdr:row>
      <xdr:rowOff>165847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403411</xdr:colOff>
      <xdr:row>5</xdr:row>
      <xdr:rowOff>152401</xdr:rowOff>
    </xdr:from>
    <xdr:to>
      <xdr:col>26</xdr:col>
      <xdr:colOff>134470</xdr:colOff>
      <xdr:row>20</xdr:row>
      <xdr:rowOff>38101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1A2E5D-FF1B-6F42-0D29-FD68EA920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11205</xdr:colOff>
      <xdr:row>22</xdr:row>
      <xdr:rowOff>73959</xdr:rowOff>
    </xdr:from>
    <xdr:to>
      <xdr:col>26</xdr:col>
      <xdr:colOff>347381</xdr:colOff>
      <xdr:row>36</xdr:row>
      <xdr:rowOff>150159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73FE22-44BD-25F4-C62C-68903250A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69</xdr:row>
      <xdr:rowOff>80010</xdr:rowOff>
    </xdr:from>
    <xdr:to>
      <xdr:col>10</xdr:col>
      <xdr:colOff>9525</xdr:colOff>
      <xdr:row>84</xdr:row>
      <xdr:rowOff>80010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C906CA-5323-1504-A9EA-5FF24D398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323850</xdr:colOff>
      <xdr:row>84</xdr:row>
      <xdr:rowOff>114300</xdr:rowOff>
    </xdr:from>
    <xdr:to>
      <xdr:col>9</xdr:col>
      <xdr:colOff>371475</xdr:colOff>
      <xdr:row>105</xdr:row>
      <xdr:rowOff>40957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6DF5F8-35B9-4EFE-8B3E-34E5FA35D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590549</xdr:colOff>
      <xdr:row>4</xdr:row>
      <xdr:rowOff>9525</xdr:rowOff>
    </xdr:from>
    <xdr:to>
      <xdr:col>21</xdr:col>
      <xdr:colOff>247650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E2421B-2C40-0F63-56AB-8F45FDCDAB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159964</xdr:colOff>
      <xdr:row>8</xdr:row>
      <xdr:rowOff>33057</xdr:rowOff>
    </xdr:from>
    <xdr:to>
      <xdr:col>32</xdr:col>
      <xdr:colOff>303120</xdr:colOff>
      <xdr:row>22</xdr:row>
      <xdr:rowOff>109257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1ECF11-0240-4FD9-58B3-F08407375A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581026</xdr:colOff>
      <xdr:row>24</xdr:row>
      <xdr:rowOff>180975</xdr:rowOff>
    </xdr:from>
    <xdr:to>
      <xdr:col>22</xdr:col>
      <xdr:colOff>38100</xdr:colOff>
      <xdr:row>39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5C1B52F-607F-75FD-82BF-E5457E8BAF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204106</xdr:colOff>
      <xdr:row>24</xdr:row>
      <xdr:rowOff>186418</xdr:rowOff>
    </xdr:from>
    <xdr:to>
      <xdr:col>34</xdr:col>
      <xdr:colOff>204106</xdr:colOff>
      <xdr:row>43</xdr:row>
      <xdr:rowOff>163286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AEC8EE4-A79C-CC2D-4AC9-5814335EAB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85</xdr:row>
      <xdr:rowOff>0</xdr:rowOff>
    </xdr:from>
    <xdr:to>
      <xdr:col>23</xdr:col>
      <xdr:colOff>92448</xdr:colOff>
      <xdr:row>105</xdr:row>
      <xdr:rowOff>117157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FF0A32F-65CF-4BA1-9EB1-CE333A657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375557</xdr:colOff>
      <xdr:row>104</xdr:row>
      <xdr:rowOff>129267</xdr:rowOff>
    </xdr:from>
    <xdr:to>
      <xdr:col>10</xdr:col>
      <xdr:colOff>323850</xdr:colOff>
      <xdr:row>125</xdr:row>
      <xdr:rowOff>55924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2C0E6BF-E921-451A-A7DE-9DCC6F447F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55318</xdr:rowOff>
    </xdr:from>
    <xdr:to>
      <xdr:col>7</xdr:col>
      <xdr:colOff>304801</xdr:colOff>
      <xdr:row>28</xdr:row>
      <xdr:rowOff>131518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31CC98-476C-C856-2863-133E33C39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5" x14ac:dyDescent="0.25"/>
  <cols>
    <col min="14" max="14" width="12.28515625" bestFit="1" customWidth="1"/>
    <col min="22" max="22" width="12.7109375" bestFit="1" customWidth="1"/>
    <col min="27" max="27" width="9.7109375" bestFit="1" customWidth="1"/>
    <col min="29" max="29" width="12.7109375" bestFit="1" customWidth="1"/>
  </cols>
  <sheetData>
    <row r="1" spans="1:30" x14ac:dyDescent="0.25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25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25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25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25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25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25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25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25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25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25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25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25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25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25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25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25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25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25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25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25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25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25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25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25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25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25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25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25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25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25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25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25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25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25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25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25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25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25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25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25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25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25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25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25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25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25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25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25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25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25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25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25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25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25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25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25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25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25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25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25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25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25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25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25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25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25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25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25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25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25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25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25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25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25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25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25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25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25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25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25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25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25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25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25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25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25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25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25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25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25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25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25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25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25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25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25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25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25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25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25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25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25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25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25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25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25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25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25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25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25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25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25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25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25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25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25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25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25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25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25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25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25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25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25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25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25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25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25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25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25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25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25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25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25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25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25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25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25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25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25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25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25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25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25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25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25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25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25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25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25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25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25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25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25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25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25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25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25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25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25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25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25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25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25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25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25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25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25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25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25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25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25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25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25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25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25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25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25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25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25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25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25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25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25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25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25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25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25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25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25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5" x14ac:dyDescent="0.25"/>
  <cols>
    <col min="2" max="2" width="8.85546875" customWidth="1"/>
    <col min="12" max="12" width="14.28515625" bestFit="1" customWidth="1"/>
    <col min="13" max="13" width="18.28515625" bestFit="1" customWidth="1"/>
    <col min="14" max="14" width="11.7109375" bestFit="1" customWidth="1"/>
    <col min="15" max="15" width="13.28515625" bestFit="1" customWidth="1"/>
    <col min="16" max="16" width="16.28515625" bestFit="1" customWidth="1"/>
    <col min="17" max="17" width="17.85546875" bestFit="1" customWidth="1"/>
  </cols>
  <sheetData>
    <row r="1" spans="1:17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25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25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25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25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25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25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25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25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25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25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25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25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25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25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25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25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25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25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25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25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25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25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25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25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25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25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25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25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25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25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25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25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25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25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25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25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25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25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25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25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25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25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25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25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25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25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25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25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25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25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25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25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25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25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25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25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25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25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25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25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25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25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25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25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25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25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25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25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25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25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25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25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25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25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25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25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25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25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25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25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25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25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25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25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25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25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25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25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25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25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25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25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25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25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25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25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25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25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25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25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25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25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25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25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25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25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25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25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25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25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25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25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25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25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25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25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25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25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25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25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25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25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25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25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25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25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25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25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25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25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25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25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25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25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25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25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25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25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25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25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25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25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25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25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25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25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25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25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25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25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25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25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25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25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25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25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25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25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25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25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25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25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25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25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25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25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25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25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25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25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25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25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25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25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25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25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25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25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25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25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25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25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25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25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25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25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25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25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25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25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25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25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25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25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25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25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25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25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25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25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25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25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25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25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25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25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25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25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25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25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25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25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25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25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25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25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25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25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25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25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25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25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25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25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25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25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25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25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25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25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25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25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25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25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25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25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25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25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25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25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25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25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25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25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25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25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25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25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25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25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25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25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25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25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25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25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25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25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25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25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25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25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25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25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25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25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25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25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25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25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25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25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25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25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25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25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25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25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25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25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25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25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25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25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25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25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25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25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25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25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25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25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25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25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25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25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25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25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25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25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25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25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25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25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25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25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25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25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25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25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25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25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25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25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25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25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25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25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25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25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25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25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25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25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25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25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25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25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25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25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25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25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25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25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25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25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25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25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25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25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25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25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25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25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25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25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25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25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25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25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25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25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25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25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25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25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25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25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25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25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25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25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25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25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25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25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25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25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25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25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25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25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25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25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25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25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25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25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25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25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25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25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25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25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25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25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25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25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25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25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25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zoomScale="85" zoomScaleNormal="85" workbookViewId="0">
      <selection activeCell="G67" sqref="G67"/>
    </sheetView>
  </sheetViews>
  <sheetFormatPr defaultRowHeight="15" x14ac:dyDescent="0.25"/>
  <cols>
    <col min="17" max="17" width="10.28515625" bestFit="1" customWidth="1"/>
    <col min="18" max="18" width="11.85546875" bestFit="1" customWidth="1"/>
  </cols>
  <sheetData>
    <row r="1" spans="1:19" x14ac:dyDescent="0.25">
      <c r="A1" t="s">
        <v>0</v>
      </c>
      <c r="B1" t="s">
        <v>219</v>
      </c>
      <c r="C1" t="s">
        <v>792</v>
      </c>
      <c r="D1" t="s">
        <v>663</v>
      </c>
      <c r="E1" t="s">
        <v>793</v>
      </c>
      <c r="F1" t="s">
        <v>11</v>
      </c>
      <c r="G1" t="s">
        <v>665</v>
      </c>
      <c r="I1" t="s">
        <v>852</v>
      </c>
      <c r="K1" t="s">
        <v>852</v>
      </c>
      <c r="O1" t="s">
        <v>14</v>
      </c>
      <c r="P1" t="s">
        <v>210</v>
      </c>
      <c r="Q1" t="s">
        <v>660</v>
      </c>
      <c r="R1" t="s">
        <v>661</v>
      </c>
      <c r="S1" t="s">
        <v>797</v>
      </c>
    </row>
    <row r="2" spans="1:19" x14ac:dyDescent="0.25">
      <c r="A2" t="s">
        <v>0</v>
      </c>
      <c r="B2" t="s">
        <v>794</v>
      </c>
      <c r="C2" t="s">
        <v>795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25">
      <c r="A3" t="s">
        <v>0</v>
      </c>
      <c r="B3">
        <v>1</v>
      </c>
      <c r="C3" t="s">
        <v>853</v>
      </c>
      <c r="D3" t="s">
        <v>854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25">
      <c r="A4" t="s">
        <v>0</v>
      </c>
      <c r="B4">
        <v>2</v>
      </c>
      <c r="C4" t="s">
        <v>855</v>
      </c>
      <c r="D4" t="s">
        <v>856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25">
      <c r="A5" t="s">
        <v>0</v>
      </c>
      <c r="B5">
        <v>3</v>
      </c>
      <c r="C5" t="s">
        <v>857</v>
      </c>
      <c r="D5" t="s">
        <v>858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25">
      <c r="A6" t="s">
        <v>0</v>
      </c>
      <c r="B6">
        <v>4</v>
      </c>
      <c r="C6" t="s">
        <v>859</v>
      </c>
      <c r="D6" t="s">
        <v>860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25">
      <c r="A7" t="s">
        <v>0</v>
      </c>
      <c r="B7">
        <v>5</v>
      </c>
      <c r="C7" t="s">
        <v>861</v>
      </c>
      <c r="D7" t="s">
        <v>862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25">
      <c r="A8" t="s">
        <v>0</v>
      </c>
      <c r="B8">
        <v>6</v>
      </c>
      <c r="C8" t="s">
        <v>863</v>
      </c>
      <c r="D8" t="s">
        <v>864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25">
      <c r="A9" t="s">
        <v>0</v>
      </c>
      <c r="B9">
        <v>7</v>
      </c>
      <c r="C9" t="s">
        <v>865</v>
      </c>
      <c r="D9" t="s">
        <v>866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25">
      <c r="A10" t="s">
        <v>0</v>
      </c>
      <c r="B10">
        <v>8</v>
      </c>
      <c r="C10" t="s">
        <v>867</v>
      </c>
      <c r="D10" t="s">
        <v>868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25">
      <c r="A11" t="s">
        <v>0</v>
      </c>
      <c r="B11">
        <v>9</v>
      </c>
      <c r="C11" t="s">
        <v>869</v>
      </c>
      <c r="D11" t="s">
        <v>870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25">
      <c r="A12" t="s">
        <v>0</v>
      </c>
      <c r="B12">
        <v>10</v>
      </c>
      <c r="C12" t="s">
        <v>871</v>
      </c>
      <c r="D12" t="s">
        <v>872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25">
      <c r="A13" t="s">
        <v>0</v>
      </c>
      <c r="B13">
        <v>11</v>
      </c>
      <c r="C13" t="s">
        <v>873</v>
      </c>
      <c r="D13" t="s">
        <v>874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25">
      <c r="A14" t="s">
        <v>0</v>
      </c>
      <c r="B14">
        <v>12</v>
      </c>
      <c r="C14" t="s">
        <v>875</v>
      </c>
      <c r="D14" t="s">
        <v>876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25">
      <c r="A15" t="s">
        <v>0</v>
      </c>
      <c r="B15">
        <v>13</v>
      </c>
      <c r="C15" t="s">
        <v>877</v>
      </c>
      <c r="D15" t="s">
        <v>878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25">
      <c r="A16" t="s">
        <v>0</v>
      </c>
      <c r="B16">
        <v>14</v>
      </c>
      <c r="C16" t="s">
        <v>879</v>
      </c>
      <c r="D16" t="s">
        <v>880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25">
      <c r="A17" t="s">
        <v>0</v>
      </c>
      <c r="B17">
        <v>15</v>
      </c>
      <c r="C17" t="s">
        <v>881</v>
      </c>
      <c r="D17" t="s">
        <v>882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25">
      <c r="A18" t="s">
        <v>0</v>
      </c>
      <c r="B18">
        <v>16</v>
      </c>
      <c r="C18" t="s">
        <v>883</v>
      </c>
      <c r="D18" t="s">
        <v>884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25">
      <c r="A19" t="s">
        <v>0</v>
      </c>
      <c r="B19">
        <v>17</v>
      </c>
      <c r="C19" t="s">
        <v>885</v>
      </c>
      <c r="D19" t="s">
        <v>886</v>
      </c>
      <c r="E19" t="s">
        <v>619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25">
      <c r="A20" t="s">
        <v>0</v>
      </c>
      <c r="B20">
        <v>18</v>
      </c>
      <c r="C20" t="s">
        <v>887</v>
      </c>
      <c r="D20" t="s">
        <v>888</v>
      </c>
      <c r="E20" t="s">
        <v>620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25">
      <c r="A21" t="s">
        <v>0</v>
      </c>
      <c r="B21">
        <v>19</v>
      </c>
      <c r="C21" t="s">
        <v>889</v>
      </c>
      <c r="D21" t="s">
        <v>890</v>
      </c>
      <c r="E21" t="s">
        <v>621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25">
      <c r="A22" t="s">
        <v>0</v>
      </c>
      <c r="B22">
        <v>20</v>
      </c>
      <c r="C22" t="s">
        <v>891</v>
      </c>
      <c r="D22" t="s">
        <v>892</v>
      </c>
      <c r="E22" t="s">
        <v>622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25">
      <c r="A23" t="s">
        <v>0</v>
      </c>
      <c r="B23">
        <v>21</v>
      </c>
      <c r="C23" t="s">
        <v>893</v>
      </c>
      <c r="D23" t="s">
        <v>894</v>
      </c>
      <c r="E23" t="s">
        <v>623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25">
      <c r="A24" t="s">
        <v>0</v>
      </c>
      <c r="B24">
        <v>22</v>
      </c>
      <c r="C24" t="s">
        <v>895</v>
      </c>
      <c r="D24" t="s">
        <v>896</v>
      </c>
      <c r="E24" t="s">
        <v>624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25">
      <c r="A25" t="s">
        <v>0</v>
      </c>
      <c r="B25">
        <v>23</v>
      </c>
      <c r="C25" t="s">
        <v>897</v>
      </c>
      <c r="D25" t="s">
        <v>898</v>
      </c>
      <c r="E25" t="s">
        <v>625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25">
      <c r="A26" t="s">
        <v>0</v>
      </c>
      <c r="B26">
        <v>24</v>
      </c>
      <c r="C26" t="s">
        <v>899</v>
      </c>
      <c r="D26" t="s">
        <v>900</v>
      </c>
      <c r="E26" t="s">
        <v>626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25">
      <c r="A27" t="s">
        <v>0</v>
      </c>
      <c r="B27">
        <v>25</v>
      </c>
      <c r="C27" t="s">
        <v>901</v>
      </c>
      <c r="D27" t="s">
        <v>902</v>
      </c>
      <c r="E27" t="s">
        <v>627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25">
      <c r="A28" t="s">
        <v>0</v>
      </c>
      <c r="B28">
        <v>26</v>
      </c>
      <c r="C28" t="s">
        <v>903</v>
      </c>
      <c r="D28" t="s">
        <v>904</v>
      </c>
      <c r="E28" t="s">
        <v>628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25">
      <c r="A29" t="s">
        <v>0</v>
      </c>
      <c r="B29">
        <v>27</v>
      </c>
      <c r="C29" t="s">
        <v>905</v>
      </c>
      <c r="D29" t="s">
        <v>906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25">
      <c r="A30" t="s">
        <v>0</v>
      </c>
      <c r="B30">
        <v>28</v>
      </c>
      <c r="C30" t="s">
        <v>907</v>
      </c>
      <c r="D30" t="s">
        <v>908</v>
      </c>
      <c r="E30" t="s">
        <v>629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25">
      <c r="A31" t="s">
        <v>0</v>
      </c>
      <c r="B31">
        <v>29</v>
      </c>
      <c r="C31" t="s">
        <v>909</v>
      </c>
      <c r="D31" t="s">
        <v>910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25">
      <c r="A32" t="s">
        <v>0</v>
      </c>
      <c r="B32">
        <v>30</v>
      </c>
      <c r="C32" t="s">
        <v>911</v>
      </c>
      <c r="D32" t="s">
        <v>912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25">
      <c r="A33" t="s">
        <v>0</v>
      </c>
      <c r="B33">
        <v>31</v>
      </c>
      <c r="C33" t="s">
        <v>913</v>
      </c>
      <c r="D33" t="s">
        <v>914</v>
      </c>
      <c r="E33" t="s">
        <v>630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25">
      <c r="A34" t="s">
        <v>0</v>
      </c>
      <c r="B34">
        <v>32</v>
      </c>
      <c r="C34" t="s">
        <v>915</v>
      </c>
      <c r="D34" t="s">
        <v>916</v>
      </c>
      <c r="E34" t="s">
        <v>631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25">
      <c r="A35" t="s">
        <v>0</v>
      </c>
      <c r="B35">
        <v>33</v>
      </c>
      <c r="C35" t="s">
        <v>917</v>
      </c>
      <c r="D35" t="s">
        <v>918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25">
      <c r="A36" t="s">
        <v>0</v>
      </c>
      <c r="B36">
        <v>34</v>
      </c>
      <c r="C36" t="s">
        <v>919</v>
      </c>
      <c r="D36" t="s">
        <v>920</v>
      </c>
      <c r="E36" t="s">
        <v>632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25">
      <c r="A37" t="s">
        <v>0</v>
      </c>
      <c r="B37">
        <v>35</v>
      </c>
      <c r="C37" t="s">
        <v>921</v>
      </c>
      <c r="D37" t="s">
        <v>922</v>
      </c>
      <c r="E37" t="s">
        <v>633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25">
      <c r="A38" t="s">
        <v>0</v>
      </c>
      <c r="B38">
        <v>36</v>
      </c>
      <c r="C38" t="s">
        <v>923</v>
      </c>
      <c r="D38" t="s">
        <v>924</v>
      </c>
      <c r="E38" t="s">
        <v>634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25">
      <c r="A39" t="s">
        <v>0</v>
      </c>
      <c r="B39">
        <v>37</v>
      </c>
      <c r="C39" t="s">
        <v>925</v>
      </c>
      <c r="D39" t="s">
        <v>926</v>
      </c>
      <c r="E39" t="s">
        <v>635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25">
      <c r="A40" t="s">
        <v>0</v>
      </c>
      <c r="B40">
        <v>38</v>
      </c>
      <c r="C40" t="s">
        <v>927</v>
      </c>
      <c r="D40" t="s">
        <v>928</v>
      </c>
      <c r="E40" t="s">
        <v>636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25">
      <c r="A41" t="s">
        <v>0</v>
      </c>
      <c r="B41">
        <v>39</v>
      </c>
      <c r="C41" t="s">
        <v>929</v>
      </c>
      <c r="D41" t="s">
        <v>930</v>
      </c>
      <c r="E41" t="s">
        <v>637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25">
      <c r="A42" t="s">
        <v>0</v>
      </c>
      <c r="B42">
        <v>40</v>
      </c>
      <c r="C42" t="s">
        <v>931</v>
      </c>
      <c r="D42" t="s">
        <v>932</v>
      </c>
      <c r="E42" t="s">
        <v>638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25">
      <c r="A43" t="s">
        <v>0</v>
      </c>
      <c r="B43">
        <v>41</v>
      </c>
      <c r="C43" t="s">
        <v>933</v>
      </c>
      <c r="D43" t="s">
        <v>934</v>
      </c>
      <c r="E43" t="s">
        <v>639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25">
      <c r="A44" t="s">
        <v>0</v>
      </c>
      <c r="B44">
        <v>42</v>
      </c>
      <c r="C44" t="s">
        <v>935</v>
      </c>
      <c r="D44" t="s">
        <v>936</v>
      </c>
      <c r="E44" t="s">
        <v>640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25">
      <c r="A45" t="s">
        <v>0</v>
      </c>
      <c r="B45">
        <v>43</v>
      </c>
      <c r="C45" t="s">
        <v>937</v>
      </c>
      <c r="D45" t="s">
        <v>938</v>
      </c>
      <c r="E45" t="s">
        <v>641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25">
      <c r="A46" t="s">
        <v>0</v>
      </c>
      <c r="B46">
        <v>44</v>
      </c>
      <c r="C46" t="s">
        <v>939</v>
      </c>
      <c r="D46" t="s">
        <v>940</v>
      </c>
      <c r="E46" t="s">
        <v>642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25">
      <c r="A47" t="s">
        <v>0</v>
      </c>
      <c r="B47">
        <v>45</v>
      </c>
      <c r="C47" t="s">
        <v>941</v>
      </c>
      <c r="D47" t="s">
        <v>942</v>
      </c>
      <c r="E47" t="s">
        <v>643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25">
      <c r="A48" t="s">
        <v>0</v>
      </c>
      <c r="B48">
        <v>46</v>
      </c>
      <c r="C48" t="s">
        <v>943</v>
      </c>
      <c r="D48" t="s">
        <v>944</v>
      </c>
      <c r="E48" t="s">
        <v>644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25">
      <c r="A49" t="s">
        <v>0</v>
      </c>
      <c r="B49">
        <v>47</v>
      </c>
      <c r="C49" t="s">
        <v>945</v>
      </c>
      <c r="D49" t="s">
        <v>946</v>
      </c>
      <c r="E49" t="s">
        <v>645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25">
      <c r="A50" t="s">
        <v>0</v>
      </c>
      <c r="B50">
        <v>48</v>
      </c>
      <c r="C50" t="s">
        <v>947</v>
      </c>
      <c r="D50" t="s">
        <v>948</v>
      </c>
      <c r="E50" t="s">
        <v>646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25">
      <c r="A51" t="s">
        <v>0</v>
      </c>
      <c r="B51">
        <v>49</v>
      </c>
      <c r="C51" t="s">
        <v>949</v>
      </c>
      <c r="D51" t="s">
        <v>950</v>
      </c>
      <c r="E51" t="s">
        <v>647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25">
      <c r="A52" t="s">
        <v>0</v>
      </c>
      <c r="B52">
        <v>50</v>
      </c>
      <c r="C52" t="s">
        <v>951</v>
      </c>
      <c r="D52" t="s">
        <v>952</v>
      </c>
      <c r="E52" t="s">
        <v>648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25">
      <c r="A53" t="s">
        <v>0</v>
      </c>
      <c r="B53">
        <v>51</v>
      </c>
      <c r="C53" t="s">
        <v>953</v>
      </c>
      <c r="D53" t="s">
        <v>954</v>
      </c>
      <c r="E53" t="s">
        <v>649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25">
      <c r="A54" t="s">
        <v>0</v>
      </c>
      <c r="B54">
        <v>52</v>
      </c>
      <c r="C54" t="s">
        <v>955</v>
      </c>
      <c r="D54" t="s">
        <v>956</v>
      </c>
      <c r="E54" t="s">
        <v>650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25">
      <c r="A55" t="s">
        <v>0</v>
      </c>
      <c r="B55">
        <v>53</v>
      </c>
      <c r="C55" t="s">
        <v>957</v>
      </c>
      <c r="D55" t="s">
        <v>958</v>
      </c>
      <c r="E55" t="s">
        <v>651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25">
      <c r="A56" t="s">
        <v>0</v>
      </c>
      <c r="B56">
        <v>54</v>
      </c>
      <c r="C56" t="s">
        <v>959</v>
      </c>
      <c r="D56" t="s">
        <v>960</v>
      </c>
      <c r="E56" t="s">
        <v>652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25">
      <c r="A57" t="s">
        <v>0</v>
      </c>
      <c r="B57">
        <v>55</v>
      </c>
      <c r="C57" t="s">
        <v>961</v>
      </c>
      <c r="D57" t="s">
        <v>962</v>
      </c>
      <c r="E57" t="s">
        <v>653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25">
      <c r="A58" t="s">
        <v>0</v>
      </c>
      <c r="B58">
        <v>56</v>
      </c>
      <c r="C58" t="s">
        <v>963</v>
      </c>
      <c r="D58" t="s">
        <v>964</v>
      </c>
      <c r="E58" t="s">
        <v>654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25">
      <c r="A59" t="s">
        <v>0</v>
      </c>
      <c r="B59">
        <v>57</v>
      </c>
      <c r="C59" t="s">
        <v>965</v>
      </c>
      <c r="D59" t="s">
        <v>966</v>
      </c>
      <c r="E59" t="s">
        <v>654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25">
      <c r="A60" t="s">
        <v>0</v>
      </c>
      <c r="B60">
        <v>58</v>
      </c>
      <c r="C60" t="s">
        <v>967</v>
      </c>
      <c r="D60" t="s">
        <v>968</v>
      </c>
      <c r="E60" t="s">
        <v>655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25">
      <c r="A61" t="s">
        <v>0</v>
      </c>
      <c r="B61">
        <v>59</v>
      </c>
      <c r="C61" t="s">
        <v>969</v>
      </c>
      <c r="D61" t="s">
        <v>970</v>
      </c>
      <c r="E61" t="s">
        <v>656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25">
      <c r="A62" t="s">
        <v>0</v>
      </c>
      <c r="B62">
        <v>60</v>
      </c>
      <c r="C62" t="s">
        <v>971</v>
      </c>
      <c r="D62" t="s">
        <v>972</v>
      </c>
      <c r="E62" t="s">
        <v>657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25">
      <c r="A63" t="s">
        <v>0</v>
      </c>
      <c r="B63">
        <v>61</v>
      </c>
      <c r="C63" t="s">
        <v>973</v>
      </c>
      <c r="D63" t="s">
        <v>974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25">
      <c r="A64" t="s">
        <v>0</v>
      </c>
      <c r="B64">
        <v>62</v>
      </c>
      <c r="C64" t="s">
        <v>975</v>
      </c>
      <c r="D64" t="s">
        <v>976</v>
      </c>
      <c r="E64" t="s">
        <v>658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25">
      <c r="A65" t="s">
        <v>0</v>
      </c>
      <c r="B65">
        <v>63</v>
      </c>
      <c r="C65" t="s">
        <v>977</v>
      </c>
      <c r="D65" t="s">
        <v>978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25">
      <c r="A66" t="s">
        <v>0</v>
      </c>
      <c r="B66">
        <v>64</v>
      </c>
      <c r="C66" t="s">
        <v>979</v>
      </c>
      <c r="D66" t="s">
        <v>980</v>
      </c>
      <c r="E66" t="s">
        <v>659</v>
      </c>
      <c r="F66">
        <v>29</v>
      </c>
      <c r="G66">
        <v>4821</v>
      </c>
    </row>
    <row r="67" spans="1:19" x14ac:dyDescent="0.25">
      <c r="A67" t="s">
        <v>0</v>
      </c>
      <c r="G67">
        <f>AVERAGE(G2:G66)</f>
        <v>2406.5076923076922</v>
      </c>
      <c r="H67">
        <f>AVERAGE(G64:G66,G3:G5)</f>
        <v>1594</v>
      </c>
    </row>
    <row r="68" spans="1:19" x14ac:dyDescent="0.25">
      <c r="A68" t="s">
        <v>0</v>
      </c>
      <c r="G68">
        <f>G67-16</f>
        <v>2390.5076923076922</v>
      </c>
    </row>
    <row r="69" spans="1:19" x14ac:dyDescent="0.25">
      <c r="A69" t="s">
        <v>0</v>
      </c>
    </row>
    <row r="70" spans="1:19" x14ac:dyDescent="0.25">
      <c r="A70" t="s">
        <v>0</v>
      </c>
    </row>
    <row r="71" spans="1:19" x14ac:dyDescent="0.25">
      <c r="A71" t="s">
        <v>0</v>
      </c>
    </row>
    <row r="72" spans="1:19" x14ac:dyDescent="0.25">
      <c r="A72" t="s">
        <v>0</v>
      </c>
    </row>
    <row r="73" spans="1:19" x14ac:dyDescent="0.25">
      <c r="A73" t="s">
        <v>0</v>
      </c>
    </row>
    <row r="74" spans="1:19" x14ac:dyDescent="0.25">
      <c r="A74" t="s">
        <v>0</v>
      </c>
    </row>
    <row r="75" spans="1:19" x14ac:dyDescent="0.25">
      <c r="A75" t="s">
        <v>0</v>
      </c>
    </row>
    <row r="76" spans="1:19" x14ac:dyDescent="0.25">
      <c r="A76" t="s">
        <v>0</v>
      </c>
    </row>
    <row r="77" spans="1:19" x14ac:dyDescent="0.25">
      <c r="A77" t="s">
        <v>0</v>
      </c>
    </row>
    <row r="78" spans="1:19" x14ac:dyDescent="0.25">
      <c r="A78" t="s">
        <v>0</v>
      </c>
    </row>
    <row r="79" spans="1:19" x14ac:dyDescent="0.25">
      <c r="A79" t="s">
        <v>0</v>
      </c>
    </row>
    <row r="80" spans="1:19" x14ac:dyDescent="0.25">
      <c r="A80" t="s">
        <v>0</v>
      </c>
    </row>
    <row r="81" spans="1:1" x14ac:dyDescent="0.25">
      <c r="A81" t="s">
        <v>0</v>
      </c>
    </row>
    <row r="82" spans="1:1" x14ac:dyDescent="0.25">
      <c r="A82" t="s">
        <v>0</v>
      </c>
    </row>
    <row r="83" spans="1:1" x14ac:dyDescent="0.25">
      <c r="A83" t="s">
        <v>0</v>
      </c>
    </row>
    <row r="84" spans="1:1" x14ac:dyDescent="0.25">
      <c r="A84" t="s">
        <v>0</v>
      </c>
    </row>
    <row r="85" spans="1:1" x14ac:dyDescent="0.25">
      <c r="A85" t="s">
        <v>0</v>
      </c>
    </row>
    <row r="86" spans="1:1" x14ac:dyDescent="0.25">
      <c r="A86" t="s">
        <v>0</v>
      </c>
    </row>
    <row r="87" spans="1:1" x14ac:dyDescent="0.25">
      <c r="A87" t="s">
        <v>0</v>
      </c>
    </row>
    <row r="88" spans="1:1" x14ac:dyDescent="0.25">
      <c r="A88" t="s">
        <v>0</v>
      </c>
    </row>
    <row r="89" spans="1:1" x14ac:dyDescent="0.25">
      <c r="A89" t="s">
        <v>0</v>
      </c>
    </row>
    <row r="90" spans="1:1" x14ac:dyDescent="0.25">
      <c r="A90" t="s">
        <v>0</v>
      </c>
    </row>
    <row r="91" spans="1:1" x14ac:dyDescent="0.25">
      <c r="A91" t="s">
        <v>0</v>
      </c>
    </row>
    <row r="92" spans="1:1" x14ac:dyDescent="0.25">
      <c r="A92" t="s">
        <v>0</v>
      </c>
    </row>
    <row r="93" spans="1:1" x14ac:dyDescent="0.25">
      <c r="A93" t="s">
        <v>0</v>
      </c>
    </row>
    <row r="94" spans="1:1" x14ac:dyDescent="0.25">
      <c r="A94" t="s">
        <v>0</v>
      </c>
    </row>
    <row r="95" spans="1:1" x14ac:dyDescent="0.25">
      <c r="A95" t="s">
        <v>0</v>
      </c>
    </row>
    <row r="96" spans="1:1" x14ac:dyDescent="0.25">
      <c r="A96" t="s">
        <v>0</v>
      </c>
    </row>
    <row r="97" spans="1:1" x14ac:dyDescent="0.25">
      <c r="A97" t="s">
        <v>0</v>
      </c>
    </row>
    <row r="98" spans="1:1" x14ac:dyDescent="0.25">
      <c r="A98" t="s">
        <v>0</v>
      </c>
    </row>
    <row r="99" spans="1:1" x14ac:dyDescent="0.25">
      <c r="A99" t="s">
        <v>0</v>
      </c>
    </row>
    <row r="100" spans="1:1" x14ac:dyDescent="0.25">
      <c r="A100" t="s">
        <v>0</v>
      </c>
    </row>
    <row r="101" spans="1:1" x14ac:dyDescent="0.25">
      <c r="A101" t="s">
        <v>0</v>
      </c>
    </row>
    <row r="102" spans="1:1" x14ac:dyDescent="0.25">
      <c r="A102" t="s">
        <v>0</v>
      </c>
    </row>
    <row r="103" spans="1:1" x14ac:dyDescent="0.25">
      <c r="A103" t="s">
        <v>0</v>
      </c>
    </row>
    <row r="104" spans="1:1" x14ac:dyDescent="0.25">
      <c r="A104" t="s">
        <v>0</v>
      </c>
    </row>
    <row r="105" spans="1:1" x14ac:dyDescent="0.25">
      <c r="A105" t="s">
        <v>0</v>
      </c>
    </row>
    <row r="106" spans="1:1" x14ac:dyDescent="0.25">
      <c r="A106" t="s">
        <v>0</v>
      </c>
    </row>
    <row r="107" spans="1:1" x14ac:dyDescent="0.25">
      <c r="A107" t="s">
        <v>0</v>
      </c>
    </row>
    <row r="108" spans="1:1" x14ac:dyDescent="0.25">
      <c r="A108" t="s">
        <v>0</v>
      </c>
    </row>
    <row r="109" spans="1:1" x14ac:dyDescent="0.25">
      <c r="A109" t="s">
        <v>0</v>
      </c>
    </row>
    <row r="110" spans="1:1" x14ac:dyDescent="0.25">
      <c r="A110" t="s">
        <v>0</v>
      </c>
    </row>
    <row r="111" spans="1:1" x14ac:dyDescent="0.25">
      <c r="A111" t="s">
        <v>0</v>
      </c>
    </row>
    <row r="112" spans="1:1" x14ac:dyDescent="0.25">
      <c r="A112" t="s">
        <v>0</v>
      </c>
    </row>
    <row r="113" spans="1:1" x14ac:dyDescent="0.25">
      <c r="A113" t="s">
        <v>0</v>
      </c>
    </row>
    <row r="114" spans="1:1" x14ac:dyDescent="0.25">
      <c r="A114" t="s">
        <v>0</v>
      </c>
    </row>
    <row r="115" spans="1:1" x14ac:dyDescent="0.25">
      <c r="A115" t="s">
        <v>0</v>
      </c>
    </row>
    <row r="116" spans="1:1" x14ac:dyDescent="0.25">
      <c r="A116" t="s">
        <v>0</v>
      </c>
    </row>
    <row r="117" spans="1:1" x14ac:dyDescent="0.25">
      <c r="A117" t="s">
        <v>0</v>
      </c>
    </row>
    <row r="118" spans="1:1" x14ac:dyDescent="0.25">
      <c r="A118" t="s">
        <v>0</v>
      </c>
    </row>
    <row r="119" spans="1:1" x14ac:dyDescent="0.25">
      <c r="A119" t="s">
        <v>0</v>
      </c>
    </row>
    <row r="120" spans="1:1" x14ac:dyDescent="0.25">
      <c r="A120" t="s">
        <v>0</v>
      </c>
    </row>
    <row r="121" spans="1:1" x14ac:dyDescent="0.25">
      <c r="A121" t="s">
        <v>0</v>
      </c>
    </row>
    <row r="122" spans="1:1" x14ac:dyDescent="0.25">
      <c r="A122" t="s">
        <v>0</v>
      </c>
    </row>
    <row r="123" spans="1:1" x14ac:dyDescent="0.25">
      <c r="A123" t="s">
        <v>0</v>
      </c>
    </row>
    <row r="124" spans="1:1" x14ac:dyDescent="0.25">
      <c r="A124" t="s">
        <v>0</v>
      </c>
    </row>
    <row r="125" spans="1:1" x14ac:dyDescent="0.25">
      <c r="A125" t="s">
        <v>0</v>
      </c>
    </row>
    <row r="126" spans="1:1" x14ac:dyDescent="0.25">
      <c r="A126" t="s">
        <v>0</v>
      </c>
    </row>
    <row r="127" spans="1:1" x14ac:dyDescent="0.25">
      <c r="A127" t="s">
        <v>0</v>
      </c>
    </row>
    <row r="128" spans="1:1" x14ac:dyDescent="0.25">
      <c r="A128" t="s">
        <v>0</v>
      </c>
    </row>
    <row r="129" spans="1:1" x14ac:dyDescent="0.25">
      <c r="A129" t="s">
        <v>0</v>
      </c>
    </row>
    <row r="130" spans="1:1" x14ac:dyDescent="0.25">
      <c r="A130" t="s">
        <v>0</v>
      </c>
    </row>
    <row r="131" spans="1:1" x14ac:dyDescent="0.25">
      <c r="A131" t="s">
        <v>0</v>
      </c>
    </row>
    <row r="132" spans="1:1" x14ac:dyDescent="0.25">
      <c r="A132" t="s">
        <v>0</v>
      </c>
    </row>
    <row r="133" spans="1:1" x14ac:dyDescent="0.25">
      <c r="A133" t="s">
        <v>0</v>
      </c>
    </row>
    <row r="134" spans="1:1" x14ac:dyDescent="0.25">
      <c r="A134" t="s">
        <v>0</v>
      </c>
    </row>
    <row r="135" spans="1:1" x14ac:dyDescent="0.25">
      <c r="A135" t="s">
        <v>0</v>
      </c>
    </row>
    <row r="136" spans="1:1" x14ac:dyDescent="0.25">
      <c r="A136" t="s">
        <v>0</v>
      </c>
    </row>
    <row r="137" spans="1:1" x14ac:dyDescent="0.25">
      <c r="A137" t="s">
        <v>0</v>
      </c>
    </row>
    <row r="138" spans="1:1" x14ac:dyDescent="0.25">
      <c r="A138" t="s">
        <v>0</v>
      </c>
    </row>
    <row r="139" spans="1:1" x14ac:dyDescent="0.25">
      <c r="A139" t="s">
        <v>0</v>
      </c>
    </row>
    <row r="140" spans="1:1" x14ac:dyDescent="0.25">
      <c r="A140" t="s">
        <v>0</v>
      </c>
    </row>
    <row r="141" spans="1:1" x14ac:dyDescent="0.25">
      <c r="A141" t="s">
        <v>0</v>
      </c>
    </row>
    <row r="142" spans="1:1" x14ac:dyDescent="0.25">
      <c r="A142" t="s">
        <v>0</v>
      </c>
    </row>
    <row r="143" spans="1:1" x14ac:dyDescent="0.25">
      <c r="A143" t="s">
        <v>0</v>
      </c>
    </row>
    <row r="144" spans="1:1" x14ac:dyDescent="0.25">
      <c r="A144" t="s">
        <v>0</v>
      </c>
    </row>
    <row r="145" spans="1:1" x14ac:dyDescent="0.25">
      <c r="A145" t="s">
        <v>0</v>
      </c>
    </row>
    <row r="146" spans="1:1" x14ac:dyDescent="0.25">
      <c r="A146" t="s">
        <v>0</v>
      </c>
    </row>
    <row r="147" spans="1:1" x14ac:dyDescent="0.25">
      <c r="A147" t="s">
        <v>0</v>
      </c>
    </row>
    <row r="148" spans="1:1" x14ac:dyDescent="0.25">
      <c r="A148" t="s">
        <v>0</v>
      </c>
    </row>
    <row r="149" spans="1:1" x14ac:dyDescent="0.25">
      <c r="A149" t="s">
        <v>0</v>
      </c>
    </row>
    <row r="150" spans="1:1" x14ac:dyDescent="0.25">
      <c r="A150" t="s">
        <v>0</v>
      </c>
    </row>
    <row r="151" spans="1:1" x14ac:dyDescent="0.25">
      <c r="A151" t="s">
        <v>0</v>
      </c>
    </row>
    <row r="152" spans="1:1" x14ac:dyDescent="0.25">
      <c r="A152" t="s">
        <v>0</v>
      </c>
    </row>
    <row r="153" spans="1:1" x14ac:dyDescent="0.25">
      <c r="A153" t="s">
        <v>0</v>
      </c>
    </row>
    <row r="154" spans="1:1" x14ac:dyDescent="0.25">
      <c r="A154" t="s">
        <v>0</v>
      </c>
    </row>
    <row r="155" spans="1:1" x14ac:dyDescent="0.25">
      <c r="A155" t="s">
        <v>0</v>
      </c>
    </row>
    <row r="156" spans="1:1" x14ac:dyDescent="0.25">
      <c r="A156" t="s">
        <v>0</v>
      </c>
    </row>
    <row r="157" spans="1:1" x14ac:dyDescent="0.25">
      <c r="A157" t="s">
        <v>0</v>
      </c>
    </row>
    <row r="158" spans="1:1" x14ac:dyDescent="0.25">
      <c r="A158" t="s">
        <v>0</v>
      </c>
    </row>
    <row r="159" spans="1:1" x14ac:dyDescent="0.25">
      <c r="A159" t="s">
        <v>0</v>
      </c>
    </row>
    <row r="160" spans="1:1" x14ac:dyDescent="0.25">
      <c r="A160" t="s">
        <v>0</v>
      </c>
    </row>
    <row r="161" spans="1:1" x14ac:dyDescent="0.25">
      <c r="A161" t="s">
        <v>0</v>
      </c>
    </row>
    <row r="162" spans="1:1" x14ac:dyDescent="0.25">
      <c r="A162" t="s">
        <v>0</v>
      </c>
    </row>
    <row r="163" spans="1:1" x14ac:dyDescent="0.25">
      <c r="A163" t="s">
        <v>0</v>
      </c>
    </row>
    <row r="164" spans="1:1" x14ac:dyDescent="0.25">
      <c r="A164" t="s">
        <v>0</v>
      </c>
    </row>
    <row r="165" spans="1:1" x14ac:dyDescent="0.25">
      <c r="A165" t="s">
        <v>0</v>
      </c>
    </row>
    <row r="166" spans="1:1" x14ac:dyDescent="0.25">
      <c r="A166" t="s">
        <v>0</v>
      </c>
    </row>
    <row r="167" spans="1:1" x14ac:dyDescent="0.25">
      <c r="A167" t="s">
        <v>0</v>
      </c>
    </row>
    <row r="168" spans="1:1" x14ac:dyDescent="0.25">
      <c r="A168" t="s">
        <v>0</v>
      </c>
    </row>
    <row r="169" spans="1:1" x14ac:dyDescent="0.25">
      <c r="A169" t="s">
        <v>0</v>
      </c>
    </row>
    <row r="170" spans="1:1" x14ac:dyDescent="0.25">
      <c r="A170" t="s">
        <v>0</v>
      </c>
    </row>
    <row r="171" spans="1:1" x14ac:dyDescent="0.25">
      <c r="A171" t="s">
        <v>0</v>
      </c>
    </row>
    <row r="172" spans="1:1" x14ac:dyDescent="0.25">
      <c r="A172" t="s">
        <v>0</v>
      </c>
    </row>
    <row r="173" spans="1:1" x14ac:dyDescent="0.25">
      <c r="A173" t="s">
        <v>0</v>
      </c>
    </row>
    <row r="174" spans="1:1" x14ac:dyDescent="0.25">
      <c r="A174" t="s">
        <v>0</v>
      </c>
    </row>
    <row r="175" spans="1:1" x14ac:dyDescent="0.25">
      <c r="A175" t="s">
        <v>0</v>
      </c>
    </row>
    <row r="176" spans="1:1" x14ac:dyDescent="0.25">
      <c r="A176" t="s">
        <v>0</v>
      </c>
    </row>
    <row r="177" spans="1:1" x14ac:dyDescent="0.25">
      <c r="A177" t="s">
        <v>0</v>
      </c>
    </row>
    <row r="178" spans="1:1" x14ac:dyDescent="0.25">
      <c r="A178" t="s">
        <v>0</v>
      </c>
    </row>
    <row r="179" spans="1:1" x14ac:dyDescent="0.25">
      <c r="A179" t="s">
        <v>0</v>
      </c>
    </row>
    <row r="180" spans="1:1" x14ac:dyDescent="0.25">
      <c r="A180" t="s">
        <v>0</v>
      </c>
    </row>
    <row r="181" spans="1:1" x14ac:dyDescent="0.25">
      <c r="A181" t="s">
        <v>0</v>
      </c>
    </row>
    <row r="182" spans="1:1" x14ac:dyDescent="0.25">
      <c r="A182" t="s">
        <v>0</v>
      </c>
    </row>
    <row r="183" spans="1:1" x14ac:dyDescent="0.25">
      <c r="A183" t="s">
        <v>0</v>
      </c>
    </row>
    <row r="184" spans="1:1" x14ac:dyDescent="0.25">
      <c r="A184" t="s">
        <v>0</v>
      </c>
    </row>
    <row r="185" spans="1:1" x14ac:dyDescent="0.25">
      <c r="A185" t="s">
        <v>0</v>
      </c>
    </row>
    <row r="186" spans="1:1" x14ac:dyDescent="0.25">
      <c r="A186" t="s">
        <v>0</v>
      </c>
    </row>
    <row r="187" spans="1:1" x14ac:dyDescent="0.25">
      <c r="A187" t="s">
        <v>0</v>
      </c>
    </row>
    <row r="188" spans="1:1" x14ac:dyDescent="0.25">
      <c r="A188" t="s">
        <v>0</v>
      </c>
    </row>
    <row r="189" spans="1:1" x14ac:dyDescent="0.25">
      <c r="A189" t="s">
        <v>0</v>
      </c>
    </row>
    <row r="190" spans="1:1" x14ac:dyDescent="0.25">
      <c r="A190" t="s">
        <v>0</v>
      </c>
    </row>
    <row r="191" spans="1:1" x14ac:dyDescent="0.25">
      <c r="A191" t="s">
        <v>0</v>
      </c>
    </row>
    <row r="192" spans="1:1" x14ac:dyDescent="0.25">
      <c r="A192" t="s">
        <v>0</v>
      </c>
    </row>
    <row r="193" spans="1:1" x14ac:dyDescent="0.25">
      <c r="A193" t="s">
        <v>0</v>
      </c>
    </row>
    <row r="194" spans="1:1" x14ac:dyDescent="0.25">
      <c r="A194" t="s">
        <v>0</v>
      </c>
    </row>
    <row r="195" spans="1:1" x14ac:dyDescent="0.25">
      <c r="A195" t="s">
        <v>0</v>
      </c>
    </row>
    <row r="196" spans="1:1" x14ac:dyDescent="0.25">
      <c r="A196" t="s">
        <v>0</v>
      </c>
    </row>
    <row r="197" spans="1:1" x14ac:dyDescent="0.25">
      <c r="A197" t="s">
        <v>0</v>
      </c>
    </row>
    <row r="198" spans="1:1" x14ac:dyDescent="0.25">
      <c r="A198" t="s">
        <v>0</v>
      </c>
    </row>
    <row r="199" spans="1:1" x14ac:dyDescent="0.25">
      <c r="A199" t="s">
        <v>0</v>
      </c>
    </row>
    <row r="200" spans="1:1" x14ac:dyDescent="0.25">
      <c r="A200" t="s">
        <v>0</v>
      </c>
    </row>
    <row r="201" spans="1:1" x14ac:dyDescent="0.25">
      <c r="A201" t="s">
        <v>0</v>
      </c>
    </row>
    <row r="202" spans="1:1" x14ac:dyDescent="0.25">
      <c r="A202" t="s">
        <v>0</v>
      </c>
    </row>
    <row r="203" spans="1:1" x14ac:dyDescent="0.25">
      <c r="A203" t="s">
        <v>0</v>
      </c>
    </row>
    <row r="204" spans="1:1" x14ac:dyDescent="0.25">
      <c r="A204" t="s">
        <v>0</v>
      </c>
    </row>
    <row r="205" spans="1:1" x14ac:dyDescent="0.25">
      <c r="A205" t="s">
        <v>0</v>
      </c>
    </row>
    <row r="206" spans="1:1" x14ac:dyDescent="0.25">
      <c r="A206" t="s">
        <v>0</v>
      </c>
    </row>
    <row r="207" spans="1:1" x14ac:dyDescent="0.25">
      <c r="A207" t="s">
        <v>0</v>
      </c>
    </row>
    <row r="208" spans="1:1" x14ac:dyDescent="0.25">
      <c r="A208" t="s">
        <v>0</v>
      </c>
    </row>
    <row r="209" spans="1:1" x14ac:dyDescent="0.25">
      <c r="A209" t="s">
        <v>0</v>
      </c>
    </row>
    <row r="210" spans="1:1" x14ac:dyDescent="0.25">
      <c r="A210" t="s">
        <v>0</v>
      </c>
    </row>
    <row r="211" spans="1:1" x14ac:dyDescent="0.25">
      <c r="A211" t="s">
        <v>0</v>
      </c>
    </row>
    <row r="212" spans="1:1" x14ac:dyDescent="0.25">
      <c r="A212" t="s">
        <v>0</v>
      </c>
    </row>
    <row r="213" spans="1:1" x14ac:dyDescent="0.25">
      <c r="A213" t="s">
        <v>0</v>
      </c>
    </row>
    <row r="214" spans="1:1" x14ac:dyDescent="0.25">
      <c r="A214" t="s">
        <v>0</v>
      </c>
    </row>
    <row r="215" spans="1:1" x14ac:dyDescent="0.25">
      <c r="A215" t="s">
        <v>0</v>
      </c>
    </row>
    <row r="216" spans="1:1" x14ac:dyDescent="0.25">
      <c r="A216" t="s">
        <v>0</v>
      </c>
    </row>
    <row r="217" spans="1:1" x14ac:dyDescent="0.25">
      <c r="A217" t="s">
        <v>0</v>
      </c>
    </row>
    <row r="218" spans="1:1" x14ac:dyDescent="0.25">
      <c r="A218" t="s">
        <v>0</v>
      </c>
    </row>
    <row r="219" spans="1:1" x14ac:dyDescent="0.25">
      <c r="A219" t="s">
        <v>0</v>
      </c>
    </row>
    <row r="220" spans="1:1" x14ac:dyDescent="0.25">
      <c r="A220" t="s">
        <v>0</v>
      </c>
    </row>
    <row r="221" spans="1:1" x14ac:dyDescent="0.25">
      <c r="A221" t="s">
        <v>0</v>
      </c>
    </row>
    <row r="222" spans="1:1" x14ac:dyDescent="0.25">
      <c r="A222" t="s">
        <v>0</v>
      </c>
    </row>
    <row r="223" spans="1:1" x14ac:dyDescent="0.25">
      <c r="A223" t="s">
        <v>0</v>
      </c>
    </row>
    <row r="224" spans="1:1" x14ac:dyDescent="0.25">
      <c r="A224" t="s">
        <v>0</v>
      </c>
    </row>
    <row r="225" spans="1:1" x14ac:dyDescent="0.25">
      <c r="A225" t="s">
        <v>0</v>
      </c>
    </row>
    <row r="226" spans="1:1" x14ac:dyDescent="0.25">
      <c r="A226" t="s">
        <v>0</v>
      </c>
    </row>
    <row r="227" spans="1:1" x14ac:dyDescent="0.25">
      <c r="A227" t="s">
        <v>0</v>
      </c>
    </row>
    <row r="228" spans="1:1" x14ac:dyDescent="0.25">
      <c r="A228" t="s">
        <v>0</v>
      </c>
    </row>
    <row r="229" spans="1:1" x14ac:dyDescent="0.25">
      <c r="A229" t="s">
        <v>0</v>
      </c>
    </row>
    <row r="230" spans="1:1" x14ac:dyDescent="0.25">
      <c r="A230" t="s">
        <v>0</v>
      </c>
    </row>
    <row r="231" spans="1:1" x14ac:dyDescent="0.25">
      <c r="A231" t="s">
        <v>0</v>
      </c>
    </row>
    <row r="232" spans="1:1" x14ac:dyDescent="0.25">
      <c r="A232" t="s">
        <v>0</v>
      </c>
    </row>
    <row r="233" spans="1:1" x14ac:dyDescent="0.25">
      <c r="A233" t="s">
        <v>0</v>
      </c>
    </row>
    <row r="234" spans="1:1" x14ac:dyDescent="0.25">
      <c r="A234" t="s">
        <v>0</v>
      </c>
    </row>
    <row r="235" spans="1:1" x14ac:dyDescent="0.25">
      <c r="A235" t="s">
        <v>0</v>
      </c>
    </row>
    <row r="236" spans="1:1" x14ac:dyDescent="0.25">
      <c r="A236" t="s">
        <v>0</v>
      </c>
    </row>
    <row r="237" spans="1:1" x14ac:dyDescent="0.25">
      <c r="A237" t="s">
        <v>0</v>
      </c>
    </row>
    <row r="238" spans="1:1" x14ac:dyDescent="0.25">
      <c r="A238" t="s">
        <v>0</v>
      </c>
    </row>
    <row r="239" spans="1:1" x14ac:dyDescent="0.25">
      <c r="A239" t="s">
        <v>0</v>
      </c>
    </row>
    <row r="240" spans="1:1" x14ac:dyDescent="0.25">
      <c r="A240" t="s">
        <v>0</v>
      </c>
    </row>
    <row r="241" spans="1:1" x14ac:dyDescent="0.25">
      <c r="A241" t="s">
        <v>0</v>
      </c>
    </row>
    <row r="242" spans="1:1" x14ac:dyDescent="0.25">
      <c r="A242" t="s">
        <v>0</v>
      </c>
    </row>
    <row r="243" spans="1:1" x14ac:dyDescent="0.25">
      <c r="A243" t="s">
        <v>0</v>
      </c>
    </row>
    <row r="244" spans="1:1" x14ac:dyDescent="0.25">
      <c r="A244" t="s">
        <v>0</v>
      </c>
    </row>
    <row r="245" spans="1:1" x14ac:dyDescent="0.25">
      <c r="A245" t="s">
        <v>0</v>
      </c>
    </row>
    <row r="246" spans="1:1" x14ac:dyDescent="0.25">
      <c r="A246" t="s">
        <v>0</v>
      </c>
    </row>
    <row r="247" spans="1:1" x14ac:dyDescent="0.25">
      <c r="A247" t="s">
        <v>0</v>
      </c>
    </row>
    <row r="248" spans="1:1" x14ac:dyDescent="0.25">
      <c r="A248" t="s">
        <v>0</v>
      </c>
    </row>
    <row r="249" spans="1:1" x14ac:dyDescent="0.25">
      <c r="A249" t="s">
        <v>0</v>
      </c>
    </row>
    <row r="250" spans="1:1" x14ac:dyDescent="0.25">
      <c r="A250" t="s">
        <v>0</v>
      </c>
    </row>
    <row r="251" spans="1:1" x14ac:dyDescent="0.25">
      <c r="A251" t="s">
        <v>0</v>
      </c>
    </row>
    <row r="252" spans="1:1" x14ac:dyDescent="0.25">
      <c r="A252" t="s">
        <v>0</v>
      </c>
    </row>
    <row r="253" spans="1:1" x14ac:dyDescent="0.25">
      <c r="A253" t="s">
        <v>0</v>
      </c>
    </row>
    <row r="254" spans="1:1" x14ac:dyDescent="0.25">
      <c r="A254" t="s">
        <v>0</v>
      </c>
    </row>
    <row r="255" spans="1:1" x14ac:dyDescent="0.25">
      <c r="A255" t="s">
        <v>0</v>
      </c>
    </row>
    <row r="256" spans="1:1" x14ac:dyDescent="0.25">
      <c r="A256" t="s">
        <v>0</v>
      </c>
    </row>
    <row r="257" spans="1:1" x14ac:dyDescent="0.25">
      <c r="A257" t="s">
        <v>0</v>
      </c>
    </row>
    <row r="258" spans="1:1" x14ac:dyDescent="0.25">
      <c r="A258" t="s">
        <v>0</v>
      </c>
    </row>
    <row r="259" spans="1:1" x14ac:dyDescent="0.25">
      <c r="A259" t="s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5" x14ac:dyDescent="0.25"/>
  <cols>
    <col min="1" max="1" width="5.85546875" bestFit="1" customWidth="1"/>
    <col min="2" max="3" width="12.28515625" bestFit="1" customWidth="1"/>
    <col min="4" max="4" width="10.28515625" bestFit="1" customWidth="1"/>
    <col min="6" max="6" width="6.28515625" bestFit="1" customWidth="1"/>
    <col min="8" max="8" width="12.28515625" bestFit="1" customWidth="1"/>
    <col min="11" max="11" width="10.28515625" bestFit="1" customWidth="1"/>
    <col min="21" max="22" width="12.28515625" bestFit="1" customWidth="1"/>
    <col min="23" max="23" width="10.28515625" bestFit="1" customWidth="1"/>
  </cols>
  <sheetData>
    <row r="1" spans="1:6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</row>
    <row r="2" spans="1:6" x14ac:dyDescent="0.25">
      <c r="A2" t="s">
        <v>794</v>
      </c>
      <c r="B2" t="s">
        <v>795</v>
      </c>
      <c r="C2" t="s">
        <v>796</v>
      </c>
      <c r="D2" t="s">
        <v>796</v>
      </c>
      <c r="E2">
        <v>23</v>
      </c>
      <c r="F2">
        <v>443</v>
      </c>
    </row>
    <row r="3" spans="1:6" x14ac:dyDescent="0.25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25">
      <c r="A4">
        <v>1</v>
      </c>
      <c r="B4" t="s">
        <v>662</v>
      </c>
      <c r="C4" t="s">
        <v>664</v>
      </c>
      <c r="D4" s="2">
        <v>1.7855999999999999</v>
      </c>
      <c r="E4">
        <v>0</v>
      </c>
      <c r="F4">
        <v>34</v>
      </c>
    </row>
    <row r="5" spans="1:6" x14ac:dyDescent="0.25">
      <c r="A5">
        <v>2</v>
      </c>
      <c r="B5" t="s">
        <v>666</v>
      </c>
      <c r="C5" t="s">
        <v>667</v>
      </c>
      <c r="D5" s="2">
        <v>2.7071999999999998</v>
      </c>
      <c r="E5">
        <v>1</v>
      </c>
      <c r="F5">
        <v>52</v>
      </c>
    </row>
    <row r="6" spans="1:6" x14ac:dyDescent="0.25">
      <c r="A6">
        <v>3</v>
      </c>
      <c r="B6" t="s">
        <v>668</v>
      </c>
      <c r="C6" t="s">
        <v>669</v>
      </c>
      <c r="D6" s="2">
        <v>3.9359999999999999</v>
      </c>
      <c r="E6">
        <v>2</v>
      </c>
      <c r="F6">
        <v>74</v>
      </c>
    </row>
    <row r="7" spans="1:6" x14ac:dyDescent="0.25">
      <c r="A7">
        <v>4</v>
      </c>
      <c r="B7" t="s">
        <v>670</v>
      </c>
      <c r="C7" t="s">
        <v>671</v>
      </c>
      <c r="D7" s="2">
        <v>3.7824</v>
      </c>
      <c r="E7">
        <v>2</v>
      </c>
      <c r="F7">
        <v>72</v>
      </c>
    </row>
    <row r="8" spans="1:6" x14ac:dyDescent="0.25">
      <c r="A8">
        <v>5</v>
      </c>
      <c r="B8" t="s">
        <v>672</v>
      </c>
      <c r="C8" t="s">
        <v>673</v>
      </c>
      <c r="D8" s="2">
        <v>5.7279999999999998</v>
      </c>
      <c r="E8">
        <v>4</v>
      </c>
      <c r="F8">
        <v>109</v>
      </c>
    </row>
    <row r="9" spans="1:6" x14ac:dyDescent="0.25">
      <c r="A9">
        <v>6</v>
      </c>
      <c r="B9" t="s">
        <v>674</v>
      </c>
      <c r="C9" t="s">
        <v>675</v>
      </c>
      <c r="D9" s="2">
        <v>14.124799999999999</v>
      </c>
      <c r="E9">
        <v>13</v>
      </c>
      <c r="F9">
        <v>268</v>
      </c>
    </row>
    <row r="10" spans="1:6" x14ac:dyDescent="0.25">
      <c r="A10">
        <v>7</v>
      </c>
      <c r="B10" t="s">
        <v>676</v>
      </c>
      <c r="C10" t="s">
        <v>677</v>
      </c>
      <c r="D10" s="2">
        <v>7.4176000000000002</v>
      </c>
      <c r="E10">
        <v>6</v>
      </c>
      <c r="F10">
        <v>140</v>
      </c>
    </row>
    <row r="11" spans="1:6" x14ac:dyDescent="0.25">
      <c r="A11">
        <v>8</v>
      </c>
      <c r="B11" t="s">
        <v>678</v>
      </c>
      <c r="C11" t="s">
        <v>679</v>
      </c>
      <c r="D11" s="2">
        <v>14.944000000000001</v>
      </c>
      <c r="E11">
        <v>14</v>
      </c>
      <c r="F11">
        <v>283</v>
      </c>
    </row>
    <row r="12" spans="1:6" x14ac:dyDescent="0.25">
      <c r="A12">
        <v>9</v>
      </c>
      <c r="B12" t="s">
        <v>680</v>
      </c>
      <c r="C12" t="s">
        <v>681</v>
      </c>
      <c r="D12" s="2">
        <v>9.2607999999999997</v>
      </c>
      <c r="E12">
        <v>8</v>
      </c>
      <c r="F12">
        <v>175</v>
      </c>
    </row>
    <row r="13" spans="1:6" x14ac:dyDescent="0.25">
      <c r="A13">
        <v>10</v>
      </c>
      <c r="B13" t="s">
        <v>682</v>
      </c>
      <c r="C13" t="s">
        <v>683</v>
      </c>
      <c r="D13" s="2">
        <v>10.028799999999999</v>
      </c>
      <c r="E13">
        <v>9</v>
      </c>
      <c r="F13">
        <v>190</v>
      </c>
    </row>
    <row r="14" spans="1:6" x14ac:dyDescent="0.25">
      <c r="A14">
        <v>11</v>
      </c>
      <c r="B14" t="s">
        <v>684</v>
      </c>
      <c r="C14" t="s">
        <v>685</v>
      </c>
      <c r="D14" s="2">
        <v>11.616</v>
      </c>
      <c r="E14">
        <v>10</v>
      </c>
      <c r="F14">
        <v>220</v>
      </c>
    </row>
    <row r="15" spans="1:6" x14ac:dyDescent="0.25">
      <c r="A15">
        <v>12</v>
      </c>
      <c r="B15" t="s">
        <v>686</v>
      </c>
      <c r="C15" t="s">
        <v>687</v>
      </c>
      <c r="D15" s="2">
        <v>12.4352</v>
      </c>
      <c r="E15">
        <v>11</v>
      </c>
      <c r="F15">
        <v>236</v>
      </c>
    </row>
    <row r="16" spans="1:6" x14ac:dyDescent="0.25">
      <c r="A16">
        <v>13</v>
      </c>
      <c r="B16" t="s">
        <v>688</v>
      </c>
      <c r="C16" t="s">
        <v>689</v>
      </c>
      <c r="D16" s="2">
        <v>12.4864</v>
      </c>
      <c r="E16">
        <v>11</v>
      </c>
      <c r="F16">
        <v>237</v>
      </c>
    </row>
    <row r="17" spans="1:6" x14ac:dyDescent="0.25">
      <c r="A17">
        <v>14</v>
      </c>
      <c r="B17" t="s">
        <v>690</v>
      </c>
      <c r="C17" t="s">
        <v>691</v>
      </c>
      <c r="D17" s="2">
        <v>14.073600000000001</v>
      </c>
      <c r="E17">
        <v>13</v>
      </c>
      <c r="F17">
        <v>266</v>
      </c>
    </row>
    <row r="18" spans="1:6" x14ac:dyDescent="0.25">
      <c r="A18">
        <v>15</v>
      </c>
      <c r="B18" t="s">
        <v>692</v>
      </c>
      <c r="C18" t="s">
        <v>693</v>
      </c>
      <c r="D18" s="2">
        <v>15.1488</v>
      </c>
      <c r="E18">
        <v>14</v>
      </c>
      <c r="F18">
        <v>287</v>
      </c>
    </row>
    <row r="19" spans="1:6" x14ac:dyDescent="0.25">
      <c r="A19">
        <v>16</v>
      </c>
      <c r="B19" t="s">
        <v>694</v>
      </c>
      <c r="C19" t="s">
        <v>695</v>
      </c>
      <c r="D19" s="2">
        <v>14.995200000000001</v>
      </c>
      <c r="E19">
        <v>14</v>
      </c>
      <c r="F19">
        <v>284</v>
      </c>
    </row>
    <row r="20" spans="1:6" x14ac:dyDescent="0.25">
      <c r="A20">
        <v>17</v>
      </c>
      <c r="B20" t="s">
        <v>696</v>
      </c>
      <c r="C20" t="s">
        <v>697</v>
      </c>
      <c r="D20" s="2">
        <v>17.1968</v>
      </c>
      <c r="E20">
        <v>16</v>
      </c>
      <c r="F20">
        <v>325</v>
      </c>
    </row>
    <row r="21" spans="1:6" x14ac:dyDescent="0.25">
      <c r="A21">
        <v>18</v>
      </c>
      <c r="B21" t="s">
        <v>698</v>
      </c>
      <c r="C21" t="s">
        <v>699</v>
      </c>
      <c r="D21" s="2">
        <v>17.4528</v>
      </c>
      <c r="E21">
        <v>16</v>
      </c>
      <c r="F21">
        <v>330</v>
      </c>
    </row>
    <row r="22" spans="1:6" x14ac:dyDescent="0.25">
      <c r="A22">
        <v>19</v>
      </c>
      <c r="B22" t="s">
        <v>700</v>
      </c>
      <c r="C22" t="s">
        <v>701</v>
      </c>
      <c r="D22" s="2">
        <v>26.412800000000001</v>
      </c>
      <c r="E22">
        <v>26</v>
      </c>
      <c r="F22">
        <v>500</v>
      </c>
    </row>
    <row r="23" spans="1:6" x14ac:dyDescent="0.25">
      <c r="A23">
        <v>20</v>
      </c>
      <c r="B23" t="s">
        <v>702</v>
      </c>
      <c r="C23" t="s">
        <v>703</v>
      </c>
      <c r="D23" s="2">
        <v>18.015999999999998</v>
      </c>
      <c r="E23">
        <v>17</v>
      </c>
      <c r="F23">
        <v>342</v>
      </c>
    </row>
    <row r="24" spans="1:6" x14ac:dyDescent="0.25">
      <c r="A24">
        <v>21</v>
      </c>
      <c r="B24" t="s">
        <v>704</v>
      </c>
      <c r="C24" t="s">
        <v>705</v>
      </c>
      <c r="D24" s="2">
        <v>28.051200000000001</v>
      </c>
      <c r="E24">
        <v>28</v>
      </c>
      <c r="F24">
        <v>531</v>
      </c>
    </row>
    <row r="25" spans="1:6" x14ac:dyDescent="0.25">
      <c r="A25">
        <v>22</v>
      </c>
      <c r="B25" t="s">
        <v>706</v>
      </c>
      <c r="C25" t="s">
        <v>707</v>
      </c>
      <c r="D25" s="2">
        <v>19.295999999999999</v>
      </c>
      <c r="E25">
        <v>19</v>
      </c>
      <c r="F25">
        <v>365</v>
      </c>
    </row>
    <row r="26" spans="1:6" x14ac:dyDescent="0.25">
      <c r="A26">
        <v>23</v>
      </c>
      <c r="B26" t="s">
        <v>708</v>
      </c>
      <c r="C26" t="s">
        <v>709</v>
      </c>
      <c r="D26" s="2">
        <v>23.187200000000001</v>
      </c>
      <c r="E26">
        <v>22</v>
      </c>
      <c r="F26">
        <v>439</v>
      </c>
    </row>
    <row r="27" spans="1:6" x14ac:dyDescent="0.25">
      <c r="A27">
        <v>24</v>
      </c>
      <c r="B27" t="s">
        <v>710</v>
      </c>
      <c r="C27" t="s">
        <v>711</v>
      </c>
      <c r="D27" s="2">
        <v>23.5456</v>
      </c>
      <c r="E27">
        <v>23</v>
      </c>
      <c r="F27">
        <v>446</v>
      </c>
    </row>
    <row r="28" spans="1:6" x14ac:dyDescent="0.25">
      <c r="A28">
        <v>25</v>
      </c>
      <c r="B28" t="s">
        <v>712</v>
      </c>
      <c r="C28" t="s">
        <v>713</v>
      </c>
      <c r="D28" s="2">
        <v>30.918400000000002</v>
      </c>
      <c r="E28">
        <v>31</v>
      </c>
      <c r="F28">
        <v>585</v>
      </c>
    </row>
    <row r="29" spans="1:6" x14ac:dyDescent="0.25">
      <c r="A29">
        <v>26</v>
      </c>
      <c r="B29" t="s">
        <v>714</v>
      </c>
      <c r="C29" t="s">
        <v>715</v>
      </c>
      <c r="D29" s="2">
        <v>31.84</v>
      </c>
      <c r="E29">
        <v>31</v>
      </c>
      <c r="F29">
        <v>603</v>
      </c>
    </row>
    <row r="30" spans="1:6" x14ac:dyDescent="0.25">
      <c r="A30">
        <v>27</v>
      </c>
      <c r="B30" t="s">
        <v>716</v>
      </c>
      <c r="C30" t="s">
        <v>717</v>
      </c>
      <c r="D30" s="2">
        <v>27.027200000000001</v>
      </c>
      <c r="E30">
        <v>26</v>
      </c>
      <c r="F30">
        <v>511</v>
      </c>
    </row>
    <row r="31" spans="1:6" x14ac:dyDescent="0.25">
      <c r="A31">
        <v>28</v>
      </c>
      <c r="B31" t="s">
        <v>718</v>
      </c>
      <c r="C31" t="s">
        <v>719</v>
      </c>
      <c r="D31" s="2">
        <v>26.1568</v>
      </c>
      <c r="E31">
        <v>26</v>
      </c>
      <c r="F31">
        <v>495</v>
      </c>
    </row>
    <row r="32" spans="1:6" x14ac:dyDescent="0.25">
      <c r="A32">
        <v>29</v>
      </c>
      <c r="B32" t="s">
        <v>720</v>
      </c>
      <c r="C32" t="s">
        <v>721</v>
      </c>
      <c r="D32" s="2">
        <v>28.153599999999997</v>
      </c>
      <c r="E32">
        <v>28</v>
      </c>
      <c r="F32">
        <v>533</v>
      </c>
    </row>
    <row r="33" spans="1:6" x14ac:dyDescent="0.25">
      <c r="A33">
        <v>30</v>
      </c>
      <c r="B33" t="s">
        <v>722</v>
      </c>
      <c r="C33" t="s">
        <v>723</v>
      </c>
      <c r="D33" s="2">
        <v>35.475199999999994</v>
      </c>
      <c r="E33">
        <v>36</v>
      </c>
      <c r="F33">
        <v>672</v>
      </c>
    </row>
    <row r="34" spans="1:6" x14ac:dyDescent="0.25">
      <c r="A34">
        <v>31</v>
      </c>
      <c r="B34" t="s">
        <v>724</v>
      </c>
      <c r="C34" t="s">
        <v>725</v>
      </c>
      <c r="D34" s="2">
        <v>37.574400000000004</v>
      </c>
      <c r="E34">
        <v>37</v>
      </c>
      <c r="F34">
        <v>712</v>
      </c>
    </row>
    <row r="35" spans="1:6" x14ac:dyDescent="0.25">
      <c r="A35">
        <v>32</v>
      </c>
      <c r="B35" t="s">
        <v>726</v>
      </c>
      <c r="C35" t="s">
        <v>727</v>
      </c>
      <c r="D35" s="2">
        <v>30.150400000000001</v>
      </c>
      <c r="E35">
        <v>30</v>
      </c>
      <c r="F35">
        <v>571</v>
      </c>
    </row>
    <row r="36" spans="1:6" x14ac:dyDescent="0.25">
      <c r="A36">
        <v>33</v>
      </c>
      <c r="B36" t="s">
        <v>728</v>
      </c>
      <c r="C36" t="s">
        <v>729</v>
      </c>
      <c r="D36" s="2">
        <v>31.584</v>
      </c>
      <c r="E36">
        <v>31</v>
      </c>
      <c r="F36">
        <v>598</v>
      </c>
    </row>
    <row r="37" spans="1:6" x14ac:dyDescent="0.25">
      <c r="A37">
        <v>34</v>
      </c>
      <c r="B37" t="s">
        <v>730</v>
      </c>
      <c r="C37" t="s">
        <v>731</v>
      </c>
      <c r="D37" s="2">
        <v>32.351999999999997</v>
      </c>
      <c r="E37">
        <v>33</v>
      </c>
      <c r="F37">
        <v>613</v>
      </c>
    </row>
    <row r="38" spans="1:6" x14ac:dyDescent="0.25">
      <c r="A38">
        <v>35</v>
      </c>
      <c r="B38" t="s">
        <v>732</v>
      </c>
      <c r="C38" t="s">
        <v>733</v>
      </c>
      <c r="D38" s="2">
        <v>39.6736</v>
      </c>
      <c r="E38">
        <v>40</v>
      </c>
      <c r="F38">
        <v>752</v>
      </c>
    </row>
    <row r="39" spans="1:6" x14ac:dyDescent="0.25">
      <c r="A39">
        <v>36</v>
      </c>
      <c r="B39" t="s">
        <v>734</v>
      </c>
      <c r="C39" t="s">
        <v>735</v>
      </c>
      <c r="D39" s="2">
        <v>32.044800000000002</v>
      </c>
      <c r="E39">
        <v>32</v>
      </c>
      <c r="F39">
        <v>607</v>
      </c>
    </row>
    <row r="40" spans="1:6" x14ac:dyDescent="0.25">
      <c r="A40">
        <v>37</v>
      </c>
      <c r="B40" t="s">
        <v>736</v>
      </c>
      <c r="C40" t="s">
        <v>737</v>
      </c>
      <c r="D40" s="2">
        <v>43.923199999999994</v>
      </c>
      <c r="E40">
        <v>44</v>
      </c>
      <c r="F40">
        <v>832</v>
      </c>
    </row>
    <row r="41" spans="1:6" x14ac:dyDescent="0.25">
      <c r="A41">
        <v>38</v>
      </c>
      <c r="B41" t="s">
        <v>738</v>
      </c>
      <c r="C41" t="s">
        <v>739</v>
      </c>
      <c r="D41" s="2">
        <v>43.001599999999996</v>
      </c>
      <c r="E41">
        <v>44</v>
      </c>
      <c r="F41">
        <v>814</v>
      </c>
    </row>
    <row r="42" spans="1:6" x14ac:dyDescent="0.25">
      <c r="A42">
        <v>39</v>
      </c>
      <c r="B42" t="s">
        <v>740</v>
      </c>
      <c r="C42" t="s">
        <v>741</v>
      </c>
      <c r="D42" s="2">
        <v>36.550400000000003</v>
      </c>
      <c r="E42">
        <v>37</v>
      </c>
      <c r="F42">
        <v>692</v>
      </c>
    </row>
    <row r="43" spans="1:6" x14ac:dyDescent="0.25">
      <c r="A43">
        <v>40</v>
      </c>
      <c r="B43" t="s">
        <v>742</v>
      </c>
      <c r="C43" t="s">
        <v>743</v>
      </c>
      <c r="D43" s="2">
        <v>46.688000000000002</v>
      </c>
      <c r="E43">
        <v>47</v>
      </c>
      <c r="F43">
        <v>884</v>
      </c>
    </row>
    <row r="44" spans="1:6" x14ac:dyDescent="0.25">
      <c r="A44">
        <v>41</v>
      </c>
      <c r="B44" t="s">
        <v>744</v>
      </c>
      <c r="C44" t="s">
        <v>745</v>
      </c>
      <c r="D44" s="2">
        <v>47.558399999999999</v>
      </c>
      <c r="E44">
        <v>48</v>
      </c>
      <c r="F44">
        <v>901</v>
      </c>
    </row>
    <row r="45" spans="1:6" x14ac:dyDescent="0.25">
      <c r="A45">
        <v>42</v>
      </c>
      <c r="B45" t="s">
        <v>746</v>
      </c>
      <c r="C45" t="s">
        <v>747</v>
      </c>
      <c r="D45" s="2">
        <v>40.134399999999999</v>
      </c>
      <c r="E45">
        <v>40</v>
      </c>
      <c r="F45">
        <v>761</v>
      </c>
    </row>
    <row r="46" spans="1:6" x14ac:dyDescent="0.25">
      <c r="A46">
        <v>43</v>
      </c>
      <c r="B46" t="s">
        <v>748</v>
      </c>
      <c r="C46" t="s">
        <v>749</v>
      </c>
      <c r="D46" s="2">
        <v>39.878399999999999</v>
      </c>
      <c r="E46">
        <v>40</v>
      </c>
      <c r="F46">
        <v>756</v>
      </c>
    </row>
    <row r="47" spans="1:6" x14ac:dyDescent="0.25">
      <c r="A47">
        <v>44</v>
      </c>
      <c r="B47" t="s">
        <v>750</v>
      </c>
      <c r="C47" t="s">
        <v>751</v>
      </c>
      <c r="D47" s="2">
        <v>49.043199999999999</v>
      </c>
      <c r="E47">
        <v>51</v>
      </c>
      <c r="F47">
        <v>929</v>
      </c>
    </row>
    <row r="48" spans="1:6" x14ac:dyDescent="0.25">
      <c r="A48">
        <v>45</v>
      </c>
      <c r="B48" t="s">
        <v>752</v>
      </c>
      <c r="C48" t="s">
        <v>753</v>
      </c>
      <c r="D48" s="2">
        <v>42.438400000000001</v>
      </c>
      <c r="E48">
        <v>42</v>
      </c>
      <c r="F48">
        <v>804</v>
      </c>
    </row>
    <row r="49" spans="1:6" x14ac:dyDescent="0.25">
      <c r="A49">
        <v>46</v>
      </c>
      <c r="B49" t="s">
        <v>754</v>
      </c>
      <c r="C49" t="s">
        <v>755</v>
      </c>
      <c r="D49" s="2">
        <v>50.630400000000002</v>
      </c>
      <c r="E49">
        <v>51</v>
      </c>
      <c r="F49">
        <v>959</v>
      </c>
    </row>
    <row r="50" spans="1:6" x14ac:dyDescent="0.25">
      <c r="A50">
        <v>47</v>
      </c>
      <c r="B50" t="s">
        <v>756</v>
      </c>
      <c r="C50" t="s">
        <v>757</v>
      </c>
      <c r="D50" s="2">
        <v>45.152000000000001</v>
      </c>
      <c r="E50">
        <v>45</v>
      </c>
      <c r="F50">
        <v>855</v>
      </c>
    </row>
    <row r="51" spans="1:6" x14ac:dyDescent="0.25">
      <c r="A51">
        <v>48</v>
      </c>
      <c r="B51" t="s">
        <v>758</v>
      </c>
      <c r="C51" t="s">
        <v>759</v>
      </c>
      <c r="D51" s="2">
        <v>58.924800000000005</v>
      </c>
      <c r="E51">
        <v>61</v>
      </c>
      <c r="F51">
        <v>1116</v>
      </c>
    </row>
    <row r="52" spans="1:6" x14ac:dyDescent="0.25">
      <c r="A52">
        <v>49</v>
      </c>
      <c r="B52" t="s">
        <v>760</v>
      </c>
      <c r="C52" t="s">
        <v>761</v>
      </c>
      <c r="D52" s="2">
        <v>45.6128</v>
      </c>
      <c r="E52">
        <v>45</v>
      </c>
      <c r="F52">
        <v>864</v>
      </c>
    </row>
    <row r="53" spans="1:6" x14ac:dyDescent="0.25">
      <c r="A53">
        <v>50</v>
      </c>
      <c r="B53" t="s">
        <v>762</v>
      </c>
      <c r="C53" t="s">
        <v>763</v>
      </c>
      <c r="D53" s="2">
        <v>71.263999999999996</v>
      </c>
      <c r="E53">
        <v>72</v>
      </c>
      <c r="F53">
        <v>1350</v>
      </c>
    </row>
    <row r="54" spans="1:6" x14ac:dyDescent="0.25">
      <c r="A54">
        <v>51</v>
      </c>
      <c r="B54" t="s">
        <v>764</v>
      </c>
      <c r="C54" t="s">
        <v>765</v>
      </c>
      <c r="D54" s="2">
        <v>53.753599999999999</v>
      </c>
      <c r="E54">
        <v>55</v>
      </c>
      <c r="F54">
        <v>1018</v>
      </c>
    </row>
    <row r="55" spans="1:6" x14ac:dyDescent="0.25">
      <c r="A55">
        <v>52</v>
      </c>
      <c r="B55" t="s">
        <v>766</v>
      </c>
      <c r="C55" t="s">
        <v>767</v>
      </c>
      <c r="D55" s="2">
        <v>62.508800000000001</v>
      </c>
      <c r="E55">
        <v>64</v>
      </c>
      <c r="F55">
        <v>1184</v>
      </c>
    </row>
    <row r="56" spans="1:6" x14ac:dyDescent="0.25">
      <c r="A56">
        <v>53</v>
      </c>
      <c r="B56" t="s">
        <v>768</v>
      </c>
      <c r="C56" t="s">
        <v>769</v>
      </c>
      <c r="D56" s="2">
        <v>58.207999999999998</v>
      </c>
      <c r="E56">
        <v>60</v>
      </c>
      <c r="F56">
        <v>1102</v>
      </c>
    </row>
    <row r="57" spans="1:6" x14ac:dyDescent="0.25">
      <c r="A57">
        <v>54</v>
      </c>
      <c r="B57" t="s">
        <v>770</v>
      </c>
      <c r="C57" t="s">
        <v>771</v>
      </c>
      <c r="D57" s="2">
        <v>64.352000000000004</v>
      </c>
      <c r="E57">
        <v>66</v>
      </c>
      <c r="F57">
        <v>1219</v>
      </c>
    </row>
    <row r="58" spans="1:6" x14ac:dyDescent="0.25">
      <c r="A58">
        <v>55</v>
      </c>
      <c r="B58" t="s">
        <v>772</v>
      </c>
      <c r="C58" t="s">
        <v>773</v>
      </c>
      <c r="D58" s="2">
        <v>73.209600000000009</v>
      </c>
      <c r="E58">
        <v>75</v>
      </c>
      <c r="F58">
        <v>1386</v>
      </c>
    </row>
    <row r="59" spans="1:6" x14ac:dyDescent="0.25">
      <c r="A59">
        <v>56</v>
      </c>
      <c r="B59" t="s">
        <v>774</v>
      </c>
      <c r="C59" t="s">
        <v>775</v>
      </c>
      <c r="D59" s="2">
        <v>76.691199999999995</v>
      </c>
      <c r="E59">
        <v>79</v>
      </c>
      <c r="F59">
        <v>1453</v>
      </c>
    </row>
    <row r="60" spans="1:6" x14ac:dyDescent="0.25">
      <c r="A60">
        <v>57</v>
      </c>
      <c r="B60" t="s">
        <v>776</v>
      </c>
      <c r="C60" t="s">
        <v>777</v>
      </c>
      <c r="D60" s="2">
        <v>53.753599999999999</v>
      </c>
      <c r="E60">
        <v>55</v>
      </c>
      <c r="F60">
        <v>1018</v>
      </c>
    </row>
    <row r="61" spans="1:6" x14ac:dyDescent="0.25">
      <c r="A61">
        <v>58</v>
      </c>
      <c r="B61" t="s">
        <v>778</v>
      </c>
      <c r="C61" t="s">
        <v>779</v>
      </c>
      <c r="D61" s="2">
        <v>63.942399999999999</v>
      </c>
      <c r="E61">
        <v>64</v>
      </c>
      <c r="F61">
        <v>1211</v>
      </c>
    </row>
    <row r="62" spans="1:6" x14ac:dyDescent="0.25">
      <c r="A62">
        <v>59</v>
      </c>
      <c r="B62" t="s">
        <v>780</v>
      </c>
      <c r="C62" t="s">
        <v>781</v>
      </c>
      <c r="D62" s="2">
        <v>69.4208</v>
      </c>
      <c r="E62">
        <v>71</v>
      </c>
      <c r="F62">
        <v>1315</v>
      </c>
    </row>
    <row r="63" spans="1:6" x14ac:dyDescent="0.25">
      <c r="A63">
        <v>60</v>
      </c>
      <c r="B63" t="s">
        <v>782</v>
      </c>
      <c r="C63" t="s">
        <v>783</v>
      </c>
      <c r="D63" s="2">
        <v>57.388800000000003</v>
      </c>
      <c r="E63">
        <v>59</v>
      </c>
      <c r="F63">
        <v>1087</v>
      </c>
    </row>
    <row r="64" spans="1:6" x14ac:dyDescent="0.25">
      <c r="A64">
        <v>61</v>
      </c>
      <c r="B64" t="s">
        <v>784</v>
      </c>
      <c r="C64" t="s">
        <v>785</v>
      </c>
      <c r="D64" s="2">
        <v>56.7744</v>
      </c>
      <c r="E64">
        <v>58</v>
      </c>
      <c r="F64">
        <v>1075</v>
      </c>
    </row>
    <row r="65" spans="1:6" x14ac:dyDescent="0.25">
      <c r="A65">
        <v>62</v>
      </c>
      <c r="B65" t="s">
        <v>786</v>
      </c>
      <c r="C65" t="s">
        <v>787</v>
      </c>
      <c r="D65" s="2">
        <v>70.239999999999995</v>
      </c>
      <c r="E65">
        <v>73</v>
      </c>
      <c r="F65">
        <v>1331</v>
      </c>
    </row>
    <row r="66" spans="1:6" x14ac:dyDescent="0.25">
      <c r="A66">
        <v>63</v>
      </c>
      <c r="B66" t="s">
        <v>788</v>
      </c>
      <c r="C66" t="s">
        <v>789</v>
      </c>
      <c r="D66" s="2">
        <v>57.44</v>
      </c>
      <c r="E66">
        <v>59</v>
      </c>
      <c r="F66">
        <v>1088</v>
      </c>
    </row>
    <row r="67" spans="1:6" x14ac:dyDescent="0.25">
      <c r="A67">
        <v>64</v>
      </c>
      <c r="B67" t="s">
        <v>790</v>
      </c>
      <c r="C67" t="s">
        <v>791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zoomScale="70" zoomScaleNormal="70" workbookViewId="0">
      <selection activeCell="U52" sqref="U52"/>
    </sheetView>
  </sheetViews>
  <sheetFormatPr defaultRowHeight="15" x14ac:dyDescent="0.25"/>
  <cols>
    <col min="1" max="1" width="5.85546875" bestFit="1" customWidth="1"/>
    <col min="2" max="3" width="11.28515625" bestFit="1" customWidth="1"/>
    <col min="4" max="4" width="9.28515625" bestFit="1" customWidth="1"/>
    <col min="5" max="5" width="4.42578125" bestFit="1" customWidth="1"/>
    <col min="9" max="9" width="11.140625" customWidth="1"/>
    <col min="10" max="10" width="11.7109375" customWidth="1"/>
  </cols>
  <sheetData>
    <row r="1" spans="1:25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  <c r="H1" t="s">
        <v>219</v>
      </c>
      <c r="I1" t="s">
        <v>792</v>
      </c>
      <c r="J1" t="s">
        <v>663</v>
      </c>
      <c r="K1" t="s">
        <v>845</v>
      </c>
      <c r="L1" t="s">
        <v>11</v>
      </c>
      <c r="M1" t="s">
        <v>665</v>
      </c>
      <c r="R1" t="s">
        <v>219</v>
      </c>
      <c r="S1" t="s">
        <v>845</v>
      </c>
      <c r="U1" t="s">
        <v>219</v>
      </c>
      <c r="V1" t="s">
        <v>845</v>
      </c>
      <c r="X1" t="s">
        <v>14</v>
      </c>
      <c r="Y1" t="s">
        <v>210</v>
      </c>
    </row>
    <row r="2" spans="1:25" x14ac:dyDescent="0.25">
      <c r="A2" t="s">
        <v>794</v>
      </c>
      <c r="B2" t="s">
        <v>795</v>
      </c>
      <c r="C2" t="s">
        <v>798</v>
      </c>
      <c r="D2" t="s">
        <v>798</v>
      </c>
      <c r="E2">
        <v>0</v>
      </c>
      <c r="F2">
        <v>45</v>
      </c>
      <c r="G2" t="str">
        <f>LEFT(D2,LEN(D2)-2)</f>
        <v>2905.60</v>
      </c>
      <c r="H2">
        <v>0</v>
      </c>
      <c r="I2" t="s">
        <v>795</v>
      </c>
      <c r="J2" t="s">
        <v>798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25">
      <c r="A3">
        <v>3</v>
      </c>
      <c r="B3" t="s">
        <v>799</v>
      </c>
      <c r="C3" t="s">
        <v>800</v>
      </c>
      <c r="D3" t="s">
        <v>801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25">
      <c r="A4">
        <v>7</v>
      </c>
      <c r="B4" t="s">
        <v>802</v>
      </c>
      <c r="C4" t="s">
        <v>803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25">
      <c r="A5">
        <v>8</v>
      </c>
      <c r="B5" t="s">
        <v>804</v>
      </c>
      <c r="C5" t="s">
        <v>805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799</v>
      </c>
      <c r="J5" t="s">
        <v>800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25">
      <c r="A6">
        <v>10</v>
      </c>
      <c r="B6" t="s">
        <v>806</v>
      </c>
      <c r="C6" t="s">
        <v>807</v>
      </c>
      <c r="D6" t="s">
        <v>801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25">
      <c r="A7">
        <v>10</v>
      </c>
      <c r="B7" t="s">
        <v>808</v>
      </c>
      <c r="C7" t="s">
        <v>809</v>
      </c>
      <c r="D7" t="s">
        <v>801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25">
      <c r="A8">
        <v>20</v>
      </c>
      <c r="B8" t="s">
        <v>810</v>
      </c>
      <c r="C8" t="s">
        <v>811</v>
      </c>
      <c r="D8" t="s">
        <v>801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25">
      <c r="A9">
        <v>20</v>
      </c>
      <c r="B9" t="s">
        <v>812</v>
      </c>
      <c r="C9" t="s">
        <v>813</v>
      </c>
      <c r="D9" t="s">
        <v>801</v>
      </c>
      <c r="E9">
        <v>0</v>
      </c>
      <c r="F9">
        <v>34</v>
      </c>
      <c r="G9" t="str">
        <f t="shared" si="0"/>
        <v>1785.60</v>
      </c>
      <c r="H9">
        <v>7</v>
      </c>
      <c r="I9" t="s">
        <v>802</v>
      </c>
      <c r="J9" t="s">
        <v>803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25">
      <c r="A10">
        <v>22</v>
      </c>
      <c r="B10" t="s">
        <v>814</v>
      </c>
      <c r="C10" t="s">
        <v>815</v>
      </c>
      <c r="D10" t="s">
        <v>801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804</v>
      </c>
      <c r="J10" t="s">
        <v>805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25">
      <c r="A11">
        <v>27</v>
      </c>
      <c r="B11" t="s">
        <v>816</v>
      </c>
      <c r="C11" t="s">
        <v>817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25">
      <c r="A12">
        <v>28</v>
      </c>
      <c r="B12" t="s">
        <v>818</v>
      </c>
      <c r="C12" t="s">
        <v>819</v>
      </c>
      <c r="D12" t="s">
        <v>801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25">
      <c r="A13">
        <v>31</v>
      </c>
      <c r="B13" t="s">
        <v>820</v>
      </c>
      <c r="C13" t="s">
        <v>821</v>
      </c>
      <c r="D13" t="s">
        <v>801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25">
      <c r="A14">
        <v>31</v>
      </c>
      <c r="B14" t="s">
        <v>822</v>
      </c>
      <c r="C14" t="s">
        <v>823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25">
      <c r="A15">
        <v>36</v>
      </c>
      <c r="B15" t="s">
        <v>824</v>
      </c>
      <c r="C15" t="s">
        <v>825</v>
      </c>
      <c r="D15" t="s">
        <v>801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25">
      <c r="A16">
        <v>46</v>
      </c>
      <c r="B16" t="s">
        <v>826</v>
      </c>
      <c r="C16" t="s">
        <v>827</v>
      </c>
      <c r="D16" t="s">
        <v>801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25">
      <c r="A17">
        <v>48</v>
      </c>
      <c r="B17" t="s">
        <v>828</v>
      </c>
      <c r="C17" t="s">
        <v>829</v>
      </c>
      <c r="D17" t="s">
        <v>801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25">
      <c r="A18">
        <v>49</v>
      </c>
      <c r="B18" t="s">
        <v>830</v>
      </c>
      <c r="C18" t="s">
        <v>831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25">
      <c r="A19">
        <v>53</v>
      </c>
      <c r="B19" t="s">
        <v>832</v>
      </c>
      <c r="C19" t="s">
        <v>833</v>
      </c>
      <c r="D19" t="s">
        <v>801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25">
      <c r="A20">
        <v>53</v>
      </c>
      <c r="B20" t="s">
        <v>834</v>
      </c>
      <c r="C20" t="s">
        <v>835</v>
      </c>
      <c r="D20" t="s">
        <v>801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25">
      <c r="A21">
        <v>54</v>
      </c>
      <c r="B21" t="s">
        <v>836</v>
      </c>
      <c r="C21" t="s">
        <v>837</v>
      </c>
      <c r="D21" t="s">
        <v>801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25">
      <c r="A22">
        <v>57</v>
      </c>
      <c r="B22" t="s">
        <v>838</v>
      </c>
      <c r="C22" t="s">
        <v>839</v>
      </c>
      <c r="D22" t="s">
        <v>840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25">
      <c r="A23">
        <v>58</v>
      </c>
      <c r="B23" t="s">
        <v>841</v>
      </c>
      <c r="C23" t="s">
        <v>842</v>
      </c>
      <c r="D23" t="s">
        <v>801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25">
      <c r="A24">
        <v>61</v>
      </c>
      <c r="B24" t="s">
        <v>843</v>
      </c>
      <c r="C24" t="s">
        <v>844</v>
      </c>
      <c r="D24" t="s">
        <v>801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814</v>
      </c>
      <c r="J24" t="s">
        <v>815</v>
      </c>
      <c r="K24">
        <v>1.7855999999999999</v>
      </c>
      <c r="L24">
        <v>0</v>
      </c>
      <c r="M24">
        <v>34</v>
      </c>
    </row>
    <row r="25" spans="1:13" x14ac:dyDescent="0.25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25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25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25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25">
      <c r="G29" t="e">
        <f t="shared" si="0"/>
        <v>#VALUE!</v>
      </c>
      <c r="H29">
        <v>27</v>
      </c>
      <c r="I29" t="s">
        <v>816</v>
      </c>
      <c r="J29" t="s">
        <v>817</v>
      </c>
      <c r="K29" s="2">
        <v>1.8368</v>
      </c>
      <c r="L29">
        <v>0</v>
      </c>
      <c r="M29">
        <v>35</v>
      </c>
    </row>
    <row r="30" spans="1:13" x14ac:dyDescent="0.25">
      <c r="G30" t="e">
        <f t="shared" si="0"/>
        <v>#VALUE!</v>
      </c>
      <c r="H30">
        <v>28</v>
      </c>
      <c r="I30" t="s">
        <v>818</v>
      </c>
      <c r="J30" t="s">
        <v>819</v>
      </c>
      <c r="K30" s="2">
        <v>1.7855999999999999</v>
      </c>
      <c r="L30">
        <v>0</v>
      </c>
      <c r="M30">
        <v>33</v>
      </c>
    </row>
    <row r="31" spans="1:13" x14ac:dyDescent="0.25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25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25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25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25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25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25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25">
      <c r="G38" t="e">
        <f t="shared" si="0"/>
        <v>#VALUE!</v>
      </c>
      <c r="H38">
        <v>36</v>
      </c>
      <c r="I38" t="s">
        <v>824</v>
      </c>
      <c r="J38" t="s">
        <v>825</v>
      </c>
      <c r="K38" s="2">
        <v>1.7855999999999999</v>
      </c>
      <c r="L38">
        <v>0</v>
      </c>
      <c r="M38">
        <v>34</v>
      </c>
    </row>
    <row r="39" spans="7:13" x14ac:dyDescent="0.25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25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25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25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25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25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25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25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25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25">
      <c r="G48" t="e">
        <f t="shared" si="0"/>
        <v>#VALUE!</v>
      </c>
      <c r="H48">
        <v>46</v>
      </c>
      <c r="I48" t="s">
        <v>826</v>
      </c>
      <c r="J48" t="s">
        <v>827</v>
      </c>
      <c r="K48" s="2">
        <v>1.7855999999999999</v>
      </c>
      <c r="L48">
        <v>0</v>
      </c>
      <c r="M48">
        <v>34</v>
      </c>
    </row>
    <row r="49" spans="7:13" x14ac:dyDescent="0.25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25">
      <c r="G50" t="e">
        <f t="shared" si="0"/>
        <v>#VALUE!</v>
      </c>
      <c r="H50">
        <v>48</v>
      </c>
      <c r="I50" t="s">
        <v>828</v>
      </c>
      <c r="J50" t="s">
        <v>829</v>
      </c>
      <c r="K50" s="2">
        <v>1.7855999999999999</v>
      </c>
      <c r="L50">
        <v>0</v>
      </c>
      <c r="M50">
        <v>34</v>
      </c>
    </row>
    <row r="51" spans="7:13" x14ac:dyDescent="0.25">
      <c r="G51" t="e">
        <f t="shared" si="0"/>
        <v>#VALUE!</v>
      </c>
      <c r="H51">
        <v>49</v>
      </c>
      <c r="I51" t="s">
        <v>830</v>
      </c>
      <c r="J51" t="s">
        <v>831</v>
      </c>
      <c r="K51" s="2">
        <v>1.8368</v>
      </c>
      <c r="L51">
        <v>0</v>
      </c>
      <c r="M51">
        <v>35</v>
      </c>
    </row>
    <row r="52" spans="7:13" x14ac:dyDescent="0.25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25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25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25">
      <c r="G55" t="e">
        <f t="shared" si="0"/>
        <v>#VALUE!</v>
      </c>
      <c r="H55">
        <v>53</v>
      </c>
      <c r="I55" t="s">
        <v>834</v>
      </c>
      <c r="J55" t="s">
        <v>835</v>
      </c>
      <c r="K55">
        <v>5.4720000000000004</v>
      </c>
      <c r="L55">
        <v>0</v>
      </c>
      <c r="M55">
        <v>34</v>
      </c>
    </row>
    <row r="56" spans="7:13" x14ac:dyDescent="0.25">
      <c r="G56" t="e">
        <f t="shared" si="0"/>
        <v>#VALUE!</v>
      </c>
      <c r="H56">
        <v>54</v>
      </c>
      <c r="I56" t="s">
        <v>836</v>
      </c>
      <c r="J56" t="s">
        <v>837</v>
      </c>
      <c r="K56" s="2">
        <v>1.7855999999999999</v>
      </c>
      <c r="L56">
        <v>0</v>
      </c>
      <c r="M56">
        <v>34</v>
      </c>
    </row>
    <row r="57" spans="7:13" x14ac:dyDescent="0.25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25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25">
      <c r="G59" t="e">
        <f t="shared" si="0"/>
        <v>#VALUE!</v>
      </c>
      <c r="H59">
        <v>57</v>
      </c>
      <c r="I59" t="s">
        <v>838</v>
      </c>
      <c r="J59" t="s">
        <v>839</v>
      </c>
      <c r="K59" s="2">
        <v>3.4751999999999996</v>
      </c>
      <c r="L59">
        <v>1</v>
      </c>
      <c r="M59">
        <v>66</v>
      </c>
    </row>
    <row r="60" spans="7:13" x14ac:dyDescent="0.25">
      <c r="G60" t="e">
        <f t="shared" si="0"/>
        <v>#VALUE!</v>
      </c>
      <c r="H60">
        <v>58</v>
      </c>
      <c r="I60" t="s">
        <v>841</v>
      </c>
      <c r="J60" t="s">
        <v>842</v>
      </c>
      <c r="K60" s="2">
        <v>1.7855999999999999</v>
      </c>
      <c r="L60">
        <v>0</v>
      </c>
      <c r="M60">
        <v>34</v>
      </c>
    </row>
    <row r="61" spans="7:13" x14ac:dyDescent="0.25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25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25">
      <c r="G63" t="e">
        <f t="shared" si="0"/>
        <v>#VALUE!</v>
      </c>
      <c r="H63">
        <v>61</v>
      </c>
      <c r="I63" t="s">
        <v>843</v>
      </c>
      <c r="J63" t="s">
        <v>844</v>
      </c>
      <c r="K63" s="2">
        <v>1.7855999999999999</v>
      </c>
      <c r="L63">
        <v>0</v>
      </c>
      <c r="M63">
        <v>34</v>
      </c>
    </row>
    <row r="64" spans="7:13" x14ac:dyDescent="0.25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25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25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H11"/>
  <sheetViews>
    <sheetView topLeftCell="A7" zoomScale="85" zoomScaleNormal="85" workbookViewId="0">
      <selection activeCell="F11" sqref="F10:F11"/>
    </sheetView>
  </sheetViews>
  <sheetFormatPr defaultRowHeight="15" x14ac:dyDescent="0.25"/>
  <cols>
    <col min="2" max="2" width="15.28515625" customWidth="1"/>
    <col min="6" max="6" width="11" customWidth="1"/>
  </cols>
  <sheetData>
    <row r="1" spans="1:8" x14ac:dyDescent="0.25">
      <c r="B1" t="s">
        <v>846</v>
      </c>
      <c r="C1" t="s">
        <v>847</v>
      </c>
      <c r="F1" t="s">
        <v>846</v>
      </c>
      <c r="G1" t="s">
        <v>847</v>
      </c>
    </row>
    <row r="2" spans="1:8" x14ac:dyDescent="0.25">
      <c r="A2" t="s">
        <v>849</v>
      </c>
      <c r="B2">
        <v>191</v>
      </c>
      <c r="C2">
        <v>1381</v>
      </c>
      <c r="E2" t="s">
        <v>849</v>
      </c>
      <c r="F2" s="5">
        <v>1.9E-3</v>
      </c>
      <c r="G2" s="4">
        <v>1.3599999999999999E-2</v>
      </c>
    </row>
    <row r="3" spans="1:8" x14ac:dyDescent="0.25">
      <c r="A3" t="s">
        <v>848</v>
      </c>
      <c r="B3">
        <v>353</v>
      </c>
      <c r="C3">
        <v>1067</v>
      </c>
      <c r="E3" t="s">
        <v>848</v>
      </c>
      <c r="F3" s="5">
        <v>1.6999999999999999E-3</v>
      </c>
      <c r="G3" s="5">
        <v>5.3E-3</v>
      </c>
    </row>
    <row r="4" spans="1:8" x14ac:dyDescent="0.25">
      <c r="A4" t="s">
        <v>850</v>
      </c>
      <c r="B4">
        <v>0</v>
      </c>
      <c r="C4">
        <v>0</v>
      </c>
    </row>
    <row r="5" spans="1:8" x14ac:dyDescent="0.25">
      <c r="A5" t="s">
        <v>851</v>
      </c>
      <c r="B5">
        <v>0</v>
      </c>
      <c r="C5">
        <v>0</v>
      </c>
    </row>
    <row r="9" spans="1:8" x14ac:dyDescent="0.25">
      <c r="B9" t="s">
        <v>985</v>
      </c>
      <c r="C9" t="s">
        <v>983</v>
      </c>
      <c r="F9" t="s">
        <v>985</v>
      </c>
      <c r="G9" t="s">
        <v>983</v>
      </c>
    </row>
    <row r="10" spans="1:8" x14ac:dyDescent="0.25">
      <c r="A10" t="s">
        <v>849</v>
      </c>
      <c r="B10">
        <v>191</v>
      </c>
      <c r="C10">
        <v>523</v>
      </c>
      <c r="E10" t="s">
        <v>849</v>
      </c>
      <c r="F10" s="5">
        <v>1.9E-3</v>
      </c>
      <c r="G10" s="4">
        <v>7.1000000000000004E-3</v>
      </c>
      <c r="H10" s="4"/>
    </row>
    <row r="11" spans="1:8" x14ac:dyDescent="0.25">
      <c r="A11" t="s">
        <v>848</v>
      </c>
      <c r="B11">
        <v>353</v>
      </c>
      <c r="C11">
        <v>551</v>
      </c>
      <c r="E11" t="s">
        <v>848</v>
      </c>
      <c r="F11" s="5">
        <v>1.6999999999999999E-3</v>
      </c>
      <c r="G11" s="4">
        <v>2.7000000000000001E-3</v>
      </c>
      <c r="H11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AJ116"/>
  <sheetViews>
    <sheetView tabSelected="1" topLeftCell="A89" zoomScaleNormal="100" workbookViewId="0">
      <selection activeCell="M120" sqref="M120"/>
    </sheetView>
  </sheetViews>
  <sheetFormatPr defaultRowHeight="15" x14ac:dyDescent="0.25"/>
  <cols>
    <col min="7" max="7" width="9.7109375" bestFit="1" customWidth="1"/>
    <col min="35" max="35" width="12" bestFit="1" customWidth="1"/>
  </cols>
  <sheetData>
    <row r="1" spans="1:36" x14ac:dyDescent="0.25">
      <c r="A1" t="s">
        <v>981</v>
      </c>
      <c r="C1" t="s">
        <v>1004</v>
      </c>
      <c r="D1" t="s">
        <v>990</v>
      </c>
      <c r="E1" t="s">
        <v>989</v>
      </c>
      <c r="F1" t="s">
        <v>988</v>
      </c>
      <c r="G1" t="s">
        <v>983</v>
      </c>
      <c r="H1" t="s">
        <v>984</v>
      </c>
      <c r="I1" t="s">
        <v>987</v>
      </c>
      <c r="J1" t="s">
        <v>986</v>
      </c>
      <c r="K1" t="s">
        <v>993</v>
      </c>
      <c r="N1" t="s">
        <v>1004</v>
      </c>
      <c r="O1" t="s">
        <v>990</v>
      </c>
      <c r="P1" t="s">
        <v>989</v>
      </c>
      <c r="Q1" t="s">
        <v>988</v>
      </c>
      <c r="R1" t="s">
        <v>983</v>
      </c>
      <c r="S1" t="s">
        <v>984</v>
      </c>
      <c r="T1" t="s">
        <v>987</v>
      </c>
      <c r="U1" t="s">
        <v>986</v>
      </c>
      <c r="V1" t="s">
        <v>993</v>
      </c>
      <c r="Y1" t="s">
        <v>1004</v>
      </c>
      <c r="Z1" t="s">
        <v>990</v>
      </c>
      <c r="AA1" t="s">
        <v>989</v>
      </c>
      <c r="AB1" t="s">
        <v>988</v>
      </c>
      <c r="AC1" t="s">
        <v>983</v>
      </c>
      <c r="AD1" t="s">
        <v>984</v>
      </c>
      <c r="AE1" t="s">
        <v>987</v>
      </c>
      <c r="AF1" t="s">
        <v>986</v>
      </c>
      <c r="AG1" t="s">
        <v>993</v>
      </c>
    </row>
    <row r="2" spans="1:36" x14ac:dyDescent="0.25">
      <c r="A2">
        <v>1</v>
      </c>
      <c r="C2">
        <v>26</v>
      </c>
      <c r="D2">
        <v>26</v>
      </c>
      <c r="E2">
        <v>26</v>
      </c>
      <c r="F2">
        <v>28</v>
      </c>
      <c r="G2">
        <v>28</v>
      </c>
      <c r="H2">
        <v>33</v>
      </c>
      <c r="I2">
        <v>39</v>
      </c>
      <c r="J2">
        <v>21</v>
      </c>
      <c r="K2">
        <v>69</v>
      </c>
      <c r="M2" s="16" t="s">
        <v>849</v>
      </c>
      <c r="N2" s="4">
        <v>1.47E-2</v>
      </c>
      <c r="O2" s="4">
        <v>1.0699999999999999E-2</v>
      </c>
      <c r="P2" s="4">
        <v>9.4000000000000004E-3</v>
      </c>
      <c r="Q2" s="4">
        <v>7.7000000000000002E-3</v>
      </c>
      <c r="R2" s="4">
        <v>7.4999999999999997E-3</v>
      </c>
      <c r="S2" s="4">
        <v>6.7000000000000002E-3</v>
      </c>
      <c r="T2" s="4">
        <v>5.7999999999999996E-3</v>
      </c>
      <c r="U2" s="4">
        <v>5.4000000000000003E-3</v>
      </c>
      <c r="V2" s="5">
        <v>1.9E-3</v>
      </c>
      <c r="W2" s="5">
        <v>0.22</v>
      </c>
      <c r="X2" t="s">
        <v>849</v>
      </c>
      <c r="Y2">
        <v>1261</v>
      </c>
      <c r="Z2">
        <v>852</v>
      </c>
      <c r="AA2">
        <v>725</v>
      </c>
      <c r="AB2">
        <v>552</v>
      </c>
      <c r="AC2">
        <v>527</v>
      </c>
      <c r="AD2">
        <v>451</v>
      </c>
      <c r="AE2">
        <v>354</v>
      </c>
      <c r="AF2">
        <v>310</v>
      </c>
      <c r="AG2">
        <v>191</v>
      </c>
      <c r="AI2" t="s">
        <v>994</v>
      </c>
    </row>
    <row r="3" spans="1:36" x14ac:dyDescent="0.25">
      <c r="A3">
        <v>2</v>
      </c>
      <c r="C3">
        <v>26</v>
      </c>
      <c r="D3">
        <v>26</v>
      </c>
      <c r="E3">
        <v>26</v>
      </c>
      <c r="F3">
        <v>28</v>
      </c>
      <c r="G3">
        <v>29</v>
      </c>
      <c r="H3">
        <v>32</v>
      </c>
      <c r="I3">
        <v>38</v>
      </c>
      <c r="J3">
        <v>23</v>
      </c>
      <c r="K3">
        <v>105</v>
      </c>
      <c r="M3" s="16" t="s">
        <v>848</v>
      </c>
      <c r="N3" s="4">
        <v>5.3E-3</v>
      </c>
      <c r="O3" s="4">
        <v>4.1999999999999997E-3</v>
      </c>
      <c r="P3" s="4">
        <v>3.7000000000000002E-3</v>
      </c>
      <c r="Q3" s="4">
        <v>3.0000000000000001E-3</v>
      </c>
      <c r="R3" s="4">
        <v>2.7000000000000001E-3</v>
      </c>
      <c r="S3" s="4">
        <v>2.5000000000000001E-3</v>
      </c>
      <c r="T3" s="4">
        <v>2.3999999999999998E-3</v>
      </c>
      <c r="U3" s="4">
        <v>2.3E-3</v>
      </c>
      <c r="V3" s="5">
        <v>1.6999999999999999E-3</v>
      </c>
      <c r="X3" t="s">
        <v>848</v>
      </c>
      <c r="Y3">
        <v>659</v>
      </c>
      <c r="Z3">
        <v>436</v>
      </c>
      <c r="AA3">
        <v>352</v>
      </c>
      <c r="AB3">
        <v>212</v>
      </c>
      <c r="AC3">
        <v>147</v>
      </c>
      <c r="AD3">
        <v>107</v>
      </c>
      <c r="AE3">
        <v>89</v>
      </c>
      <c r="AF3">
        <v>81</v>
      </c>
      <c r="AG3">
        <v>353</v>
      </c>
      <c r="AI3" s="7" t="s">
        <v>995</v>
      </c>
      <c r="AJ3" t="s">
        <v>982</v>
      </c>
    </row>
    <row r="4" spans="1:36" x14ac:dyDescent="0.25">
      <c r="A4">
        <v>3</v>
      </c>
      <c r="C4">
        <v>26</v>
      </c>
      <c r="D4">
        <v>27</v>
      </c>
      <c r="E4">
        <v>27</v>
      </c>
      <c r="F4">
        <v>28</v>
      </c>
      <c r="G4">
        <v>28</v>
      </c>
      <c r="H4">
        <v>24</v>
      </c>
      <c r="I4">
        <v>39</v>
      </c>
      <c r="J4">
        <v>23</v>
      </c>
      <c r="K4">
        <v>184</v>
      </c>
      <c r="S4" s="6"/>
      <c r="Z4">
        <f t="shared" ref="Y4:AE4" si="0">Y2-Z2</f>
        <v>409</v>
      </c>
      <c r="AA4">
        <f t="shared" si="0"/>
        <v>127</v>
      </c>
      <c r="AB4">
        <f t="shared" si="0"/>
        <v>173</v>
      </c>
      <c r="AC4">
        <f t="shared" si="0"/>
        <v>25</v>
      </c>
      <c r="AD4">
        <f t="shared" si="0"/>
        <v>76</v>
      </c>
      <c r="AE4">
        <f t="shared" si="0"/>
        <v>97</v>
      </c>
      <c r="AF4">
        <f>AE2-AF2</f>
        <v>44</v>
      </c>
      <c r="AI4" s="8" t="s">
        <v>996</v>
      </c>
    </row>
    <row r="5" spans="1:36" x14ac:dyDescent="0.25">
      <c r="A5">
        <v>4</v>
      </c>
      <c r="C5">
        <v>26</v>
      </c>
      <c r="D5">
        <v>27</v>
      </c>
      <c r="E5">
        <v>27</v>
      </c>
      <c r="F5">
        <v>28</v>
      </c>
      <c r="G5">
        <v>30</v>
      </c>
      <c r="H5">
        <v>34</v>
      </c>
      <c r="I5">
        <v>38</v>
      </c>
      <c r="J5">
        <v>24</v>
      </c>
      <c r="K5">
        <v>255</v>
      </c>
      <c r="S5" s="6"/>
      <c r="AI5" s="9" t="s">
        <v>997</v>
      </c>
    </row>
    <row r="6" spans="1:36" x14ac:dyDescent="0.25">
      <c r="A6">
        <v>5</v>
      </c>
      <c r="C6">
        <v>27</v>
      </c>
      <c r="D6">
        <v>27</v>
      </c>
      <c r="E6">
        <v>27</v>
      </c>
      <c r="F6">
        <v>28</v>
      </c>
      <c r="G6">
        <v>29</v>
      </c>
      <c r="H6">
        <v>33</v>
      </c>
      <c r="I6">
        <v>39</v>
      </c>
      <c r="J6">
        <v>26</v>
      </c>
      <c r="K6">
        <v>343</v>
      </c>
      <c r="AI6" s="10" t="s">
        <v>998</v>
      </c>
    </row>
    <row r="7" spans="1:36" x14ac:dyDescent="0.25">
      <c r="A7">
        <v>6</v>
      </c>
      <c r="C7">
        <v>26</v>
      </c>
      <c r="D7">
        <v>27</v>
      </c>
      <c r="E7">
        <v>27</v>
      </c>
      <c r="F7">
        <v>28</v>
      </c>
      <c r="G7">
        <v>24</v>
      </c>
      <c r="H7">
        <v>25</v>
      </c>
      <c r="I7">
        <v>37</v>
      </c>
      <c r="J7">
        <v>27</v>
      </c>
      <c r="K7">
        <v>428</v>
      </c>
      <c r="AI7" s="14" t="s">
        <v>1002</v>
      </c>
    </row>
    <row r="8" spans="1:36" x14ac:dyDescent="0.25">
      <c r="A8">
        <v>7</v>
      </c>
      <c r="C8">
        <v>26</v>
      </c>
      <c r="D8">
        <v>27</v>
      </c>
      <c r="E8">
        <v>27</v>
      </c>
      <c r="F8">
        <v>28</v>
      </c>
      <c r="G8">
        <v>30</v>
      </c>
      <c r="H8">
        <v>32</v>
      </c>
      <c r="I8">
        <v>39</v>
      </c>
      <c r="J8">
        <v>28</v>
      </c>
      <c r="K8">
        <v>487</v>
      </c>
      <c r="AI8" s="15" t="s">
        <v>1003</v>
      </c>
    </row>
    <row r="9" spans="1:36" x14ac:dyDescent="0.25">
      <c r="A9">
        <v>8</v>
      </c>
      <c r="C9">
        <v>26</v>
      </c>
      <c r="D9">
        <v>27</v>
      </c>
      <c r="E9">
        <v>27</v>
      </c>
      <c r="F9">
        <v>28</v>
      </c>
      <c r="G9">
        <v>29</v>
      </c>
      <c r="H9">
        <v>33</v>
      </c>
      <c r="I9">
        <v>40</v>
      </c>
      <c r="J9">
        <v>29</v>
      </c>
      <c r="K9">
        <v>558</v>
      </c>
      <c r="AI9" s="11" t="s">
        <v>999</v>
      </c>
    </row>
    <row r="10" spans="1:36" x14ac:dyDescent="0.25">
      <c r="A10">
        <v>9</v>
      </c>
      <c r="C10">
        <v>26</v>
      </c>
      <c r="D10">
        <v>26</v>
      </c>
      <c r="E10">
        <v>27</v>
      </c>
      <c r="F10">
        <v>27</v>
      </c>
      <c r="G10">
        <v>29</v>
      </c>
      <c r="H10">
        <v>26</v>
      </c>
      <c r="I10">
        <v>36</v>
      </c>
      <c r="J10">
        <v>30</v>
      </c>
      <c r="K10">
        <v>635</v>
      </c>
      <c r="AI10" s="12" t="s">
        <v>1000</v>
      </c>
    </row>
    <row r="11" spans="1:36" x14ac:dyDescent="0.25">
      <c r="A11">
        <v>10</v>
      </c>
      <c r="C11">
        <v>26</v>
      </c>
      <c r="D11">
        <v>27</v>
      </c>
      <c r="E11">
        <v>27</v>
      </c>
      <c r="F11">
        <v>28</v>
      </c>
      <c r="G11">
        <v>29</v>
      </c>
      <c r="H11">
        <v>33</v>
      </c>
      <c r="I11">
        <v>38</v>
      </c>
      <c r="J11">
        <v>31</v>
      </c>
      <c r="K11">
        <v>738</v>
      </c>
      <c r="AI11" s="13" t="s">
        <v>1001</v>
      </c>
      <c r="AJ11" t="s">
        <v>993</v>
      </c>
    </row>
    <row r="12" spans="1:36" x14ac:dyDescent="0.25">
      <c r="A12">
        <v>11</v>
      </c>
      <c r="C12">
        <v>26</v>
      </c>
      <c r="D12">
        <v>26</v>
      </c>
      <c r="E12">
        <v>27</v>
      </c>
      <c r="F12">
        <v>26</v>
      </c>
      <c r="G12">
        <v>30</v>
      </c>
      <c r="H12">
        <v>33</v>
      </c>
      <c r="I12">
        <v>39</v>
      </c>
      <c r="J12">
        <v>32</v>
      </c>
      <c r="K12">
        <v>798</v>
      </c>
    </row>
    <row r="13" spans="1:36" x14ac:dyDescent="0.25">
      <c r="A13">
        <v>12</v>
      </c>
      <c r="C13">
        <v>26</v>
      </c>
      <c r="D13">
        <v>27</v>
      </c>
      <c r="E13">
        <v>27</v>
      </c>
      <c r="F13">
        <v>28</v>
      </c>
      <c r="G13">
        <v>26</v>
      </c>
      <c r="H13">
        <v>26</v>
      </c>
      <c r="I13">
        <v>39</v>
      </c>
      <c r="J13">
        <v>33</v>
      </c>
      <c r="K13">
        <v>874</v>
      </c>
    </row>
    <row r="14" spans="1:36" x14ac:dyDescent="0.25">
      <c r="A14">
        <v>13</v>
      </c>
      <c r="C14">
        <v>26</v>
      </c>
      <c r="D14">
        <v>27</v>
      </c>
      <c r="E14">
        <v>28</v>
      </c>
      <c r="F14">
        <v>28</v>
      </c>
      <c r="G14">
        <v>29</v>
      </c>
      <c r="H14">
        <v>33</v>
      </c>
      <c r="I14">
        <v>39</v>
      </c>
      <c r="J14">
        <v>33</v>
      </c>
      <c r="K14">
        <v>980</v>
      </c>
    </row>
    <row r="15" spans="1:36" x14ac:dyDescent="0.25">
      <c r="A15">
        <v>14</v>
      </c>
      <c r="C15">
        <v>26</v>
      </c>
      <c r="D15">
        <v>28</v>
      </c>
      <c r="E15">
        <v>27</v>
      </c>
      <c r="F15">
        <v>28</v>
      </c>
      <c r="G15">
        <v>29</v>
      </c>
      <c r="H15">
        <v>33</v>
      </c>
      <c r="I15">
        <v>37</v>
      </c>
      <c r="J15">
        <v>35</v>
      </c>
      <c r="K15">
        <v>1031</v>
      </c>
    </row>
    <row r="16" spans="1:36" x14ac:dyDescent="0.25">
      <c r="A16">
        <v>15</v>
      </c>
      <c r="C16">
        <v>26</v>
      </c>
      <c r="D16">
        <v>27</v>
      </c>
      <c r="E16">
        <v>27</v>
      </c>
      <c r="F16">
        <v>28</v>
      </c>
      <c r="G16">
        <v>28</v>
      </c>
      <c r="H16">
        <v>28</v>
      </c>
      <c r="I16">
        <v>38</v>
      </c>
      <c r="J16">
        <v>35</v>
      </c>
      <c r="K16">
        <v>1106</v>
      </c>
    </row>
    <row r="17" spans="1:33" x14ac:dyDescent="0.25">
      <c r="A17">
        <v>16</v>
      </c>
      <c r="C17">
        <v>25</v>
      </c>
      <c r="D17">
        <v>27</v>
      </c>
      <c r="E17">
        <v>26</v>
      </c>
      <c r="F17">
        <v>29</v>
      </c>
      <c r="G17">
        <v>29</v>
      </c>
      <c r="H17">
        <v>34</v>
      </c>
      <c r="I17">
        <v>38</v>
      </c>
      <c r="J17">
        <v>37</v>
      </c>
      <c r="K17">
        <v>1206</v>
      </c>
    </row>
    <row r="18" spans="1:33" x14ac:dyDescent="0.25">
      <c r="A18">
        <v>17</v>
      </c>
      <c r="C18">
        <v>26</v>
      </c>
      <c r="D18">
        <v>28</v>
      </c>
      <c r="E18">
        <v>27</v>
      </c>
      <c r="F18">
        <v>27</v>
      </c>
      <c r="G18">
        <v>30</v>
      </c>
      <c r="H18">
        <v>33</v>
      </c>
      <c r="I18">
        <v>38</v>
      </c>
      <c r="J18">
        <v>38</v>
      </c>
      <c r="K18">
        <v>1256</v>
      </c>
    </row>
    <row r="19" spans="1:33" x14ac:dyDescent="0.25">
      <c r="A19">
        <v>18</v>
      </c>
      <c r="C19">
        <v>26</v>
      </c>
      <c r="D19">
        <v>28</v>
      </c>
      <c r="E19">
        <v>27</v>
      </c>
      <c r="F19">
        <v>28</v>
      </c>
      <c r="G19">
        <v>28</v>
      </c>
      <c r="H19">
        <v>30</v>
      </c>
      <c r="I19">
        <v>40</v>
      </c>
      <c r="J19">
        <v>39</v>
      </c>
      <c r="K19">
        <v>1372</v>
      </c>
    </row>
    <row r="20" spans="1:33" x14ac:dyDescent="0.25">
      <c r="A20">
        <v>19</v>
      </c>
      <c r="C20">
        <v>26</v>
      </c>
      <c r="D20">
        <v>28</v>
      </c>
      <c r="E20">
        <v>28</v>
      </c>
      <c r="F20">
        <v>27</v>
      </c>
      <c r="G20">
        <v>29</v>
      </c>
      <c r="H20">
        <v>34</v>
      </c>
      <c r="I20">
        <v>36</v>
      </c>
      <c r="J20">
        <v>41</v>
      </c>
      <c r="K20">
        <v>1425</v>
      </c>
    </row>
    <row r="21" spans="1:33" x14ac:dyDescent="0.25">
      <c r="A21">
        <v>20</v>
      </c>
      <c r="C21">
        <v>26</v>
      </c>
      <c r="D21">
        <v>27</v>
      </c>
      <c r="E21">
        <v>27</v>
      </c>
      <c r="F21">
        <v>28</v>
      </c>
      <c r="G21">
        <v>28</v>
      </c>
      <c r="H21">
        <v>33</v>
      </c>
      <c r="I21">
        <v>39</v>
      </c>
      <c r="J21">
        <v>41</v>
      </c>
      <c r="K21">
        <v>1526</v>
      </c>
      <c r="N21" t="s">
        <v>1004</v>
      </c>
      <c r="O21" t="s">
        <v>990</v>
      </c>
      <c r="P21" t="s">
        <v>989</v>
      </c>
      <c r="Q21" t="s">
        <v>988</v>
      </c>
      <c r="R21" t="s">
        <v>983</v>
      </c>
      <c r="S21" t="s">
        <v>984</v>
      </c>
      <c r="T21" t="s">
        <v>987</v>
      </c>
      <c r="U21" t="s">
        <v>986</v>
      </c>
      <c r="V21" t="s">
        <v>993</v>
      </c>
      <c r="X21" t="s">
        <v>991</v>
      </c>
      <c r="Y21">
        <v>26.5</v>
      </c>
      <c r="Z21">
        <v>27.5</v>
      </c>
      <c r="AA21">
        <v>27.5</v>
      </c>
      <c r="AB21">
        <v>28</v>
      </c>
      <c r="AC21">
        <v>29.5</v>
      </c>
      <c r="AD21">
        <v>33.5</v>
      </c>
      <c r="AE21">
        <v>39</v>
      </c>
      <c r="AF21">
        <v>54</v>
      </c>
      <c r="AG21">
        <f>K67</f>
        <v>2368.75</v>
      </c>
    </row>
    <row r="22" spans="1:33" x14ac:dyDescent="0.25">
      <c r="A22">
        <v>21</v>
      </c>
      <c r="C22">
        <v>26</v>
      </c>
      <c r="D22">
        <v>27</v>
      </c>
      <c r="E22">
        <v>27</v>
      </c>
      <c r="F22">
        <v>28</v>
      </c>
      <c r="G22">
        <v>29</v>
      </c>
      <c r="H22">
        <v>29</v>
      </c>
      <c r="I22">
        <v>40</v>
      </c>
      <c r="J22">
        <v>42</v>
      </c>
      <c r="K22">
        <v>1557</v>
      </c>
      <c r="M22" t="s">
        <v>849</v>
      </c>
      <c r="N22" s="4">
        <f>1261/1493</f>
        <v>0.8446081714668453</v>
      </c>
      <c r="O22" s="4">
        <f>852/1084</f>
        <v>0.7859778597785978</v>
      </c>
      <c r="P22" s="4">
        <f>725/957</f>
        <v>0.75757575757575757</v>
      </c>
      <c r="Q22" s="4">
        <f>552/784</f>
        <v>0.70408163265306123</v>
      </c>
      <c r="R22" s="4">
        <f>527/758</f>
        <v>0.69525065963060684</v>
      </c>
      <c r="S22" s="4">
        <f>451/681</f>
        <v>0.66226138032305437</v>
      </c>
      <c r="T22" s="4">
        <f>354/588</f>
        <v>0.60204081632653061</v>
      </c>
      <c r="U22" s="4">
        <f>355/589</f>
        <v>0.60271646859083194</v>
      </c>
      <c r="X22" t="s">
        <v>992</v>
      </c>
      <c r="Y22" s="5">
        <f t="shared" ref="Y22:AG22" si="1">MAX(N2:N3)</f>
        <v>1.47E-2</v>
      </c>
      <c r="Z22" s="5">
        <f t="shared" si="1"/>
        <v>1.0699999999999999E-2</v>
      </c>
      <c r="AA22" s="5">
        <f t="shared" si="1"/>
        <v>9.4000000000000004E-3</v>
      </c>
      <c r="AB22" s="5">
        <f t="shared" si="1"/>
        <v>7.7000000000000002E-3</v>
      </c>
      <c r="AC22" s="5">
        <f t="shared" si="1"/>
        <v>7.4999999999999997E-3</v>
      </c>
      <c r="AD22" s="5">
        <f t="shared" si="1"/>
        <v>6.7000000000000002E-3</v>
      </c>
      <c r="AE22" s="5">
        <f t="shared" si="1"/>
        <v>5.7999999999999996E-3</v>
      </c>
      <c r="AF22" s="5">
        <f t="shared" si="1"/>
        <v>5.4000000000000003E-3</v>
      </c>
      <c r="AG22" s="5">
        <f t="shared" si="1"/>
        <v>1.9E-3</v>
      </c>
    </row>
    <row r="23" spans="1:33" x14ac:dyDescent="0.25">
      <c r="A23">
        <v>22</v>
      </c>
      <c r="C23">
        <v>26</v>
      </c>
      <c r="D23">
        <v>27</v>
      </c>
      <c r="E23">
        <v>26</v>
      </c>
      <c r="F23">
        <v>27</v>
      </c>
      <c r="G23">
        <v>29</v>
      </c>
      <c r="H23">
        <v>32</v>
      </c>
      <c r="I23">
        <v>41</v>
      </c>
      <c r="J23">
        <v>42</v>
      </c>
      <c r="K23">
        <v>1681</v>
      </c>
      <c r="M23" t="s">
        <v>848</v>
      </c>
      <c r="N23" s="4">
        <f>659/1065</f>
        <v>0.61877934272300472</v>
      </c>
      <c r="O23" s="4">
        <f>436/842</f>
        <v>0.51781472684085506</v>
      </c>
      <c r="P23" s="4">
        <f>352/758</f>
        <v>0.46437994722955145</v>
      </c>
      <c r="Q23" s="4">
        <f>212/618</f>
        <v>0.34304207119741098</v>
      </c>
      <c r="R23" s="4">
        <f>147/553</f>
        <v>0.26582278481012656</v>
      </c>
      <c r="S23" s="4">
        <f>107/513</f>
        <v>0.20857699805068225</v>
      </c>
      <c r="T23" s="4">
        <f>89/495</f>
        <v>0.17979797979797979</v>
      </c>
      <c r="U23" s="4">
        <f>82/488</f>
        <v>0.16803278688524589</v>
      </c>
      <c r="Y23" t="s">
        <v>1004</v>
      </c>
      <c r="Z23" t="s">
        <v>990</v>
      </c>
      <c r="AA23" t="s">
        <v>989</v>
      </c>
      <c r="AB23" t="s">
        <v>988</v>
      </c>
      <c r="AC23" t="s">
        <v>983</v>
      </c>
      <c r="AD23" t="s">
        <v>984</v>
      </c>
      <c r="AE23" t="s">
        <v>987</v>
      </c>
      <c r="AF23" t="s">
        <v>986</v>
      </c>
      <c r="AG23" t="s">
        <v>993</v>
      </c>
    </row>
    <row r="24" spans="1:33" x14ac:dyDescent="0.25">
      <c r="A24">
        <v>23</v>
      </c>
      <c r="C24">
        <v>26</v>
      </c>
      <c r="D24">
        <v>27</v>
      </c>
      <c r="E24">
        <v>27</v>
      </c>
      <c r="F24">
        <v>28</v>
      </c>
      <c r="G24">
        <v>30</v>
      </c>
      <c r="H24">
        <v>32</v>
      </c>
      <c r="I24">
        <v>36</v>
      </c>
      <c r="J24">
        <v>43</v>
      </c>
      <c r="K24">
        <v>1758</v>
      </c>
    </row>
    <row r="25" spans="1:33" x14ac:dyDescent="0.25">
      <c r="A25">
        <v>24</v>
      </c>
      <c r="C25">
        <v>26</v>
      </c>
      <c r="D25">
        <v>27</v>
      </c>
      <c r="E25">
        <v>27</v>
      </c>
      <c r="F25">
        <v>28</v>
      </c>
      <c r="G25">
        <v>29</v>
      </c>
      <c r="H25">
        <v>31</v>
      </c>
      <c r="I25">
        <v>38</v>
      </c>
      <c r="J25">
        <v>45</v>
      </c>
      <c r="K25">
        <v>1837</v>
      </c>
    </row>
    <row r="26" spans="1:33" x14ac:dyDescent="0.25">
      <c r="A26">
        <v>25</v>
      </c>
      <c r="C26">
        <v>26</v>
      </c>
      <c r="D26">
        <v>27</v>
      </c>
      <c r="E26">
        <v>27</v>
      </c>
      <c r="F26">
        <v>29</v>
      </c>
      <c r="G26">
        <v>29</v>
      </c>
      <c r="H26">
        <v>34</v>
      </c>
      <c r="I26">
        <v>36</v>
      </c>
      <c r="J26">
        <v>48</v>
      </c>
      <c r="K26">
        <v>1927</v>
      </c>
    </row>
    <row r="27" spans="1:33" x14ac:dyDescent="0.25">
      <c r="A27">
        <v>26</v>
      </c>
      <c r="C27">
        <v>25</v>
      </c>
      <c r="D27">
        <v>27</v>
      </c>
      <c r="E27">
        <v>27</v>
      </c>
      <c r="F27">
        <v>28</v>
      </c>
      <c r="G27">
        <v>28</v>
      </c>
      <c r="H27">
        <v>33</v>
      </c>
      <c r="I27">
        <v>37</v>
      </c>
      <c r="J27">
        <v>46</v>
      </c>
      <c r="K27">
        <v>1999</v>
      </c>
    </row>
    <row r="28" spans="1:33" x14ac:dyDescent="0.25">
      <c r="A28">
        <v>27</v>
      </c>
      <c r="C28">
        <v>26</v>
      </c>
      <c r="D28">
        <v>27</v>
      </c>
      <c r="E28">
        <v>26</v>
      </c>
      <c r="F28">
        <v>27</v>
      </c>
      <c r="G28">
        <v>28</v>
      </c>
      <c r="H28">
        <v>32</v>
      </c>
      <c r="I28">
        <v>38</v>
      </c>
      <c r="J28">
        <v>47</v>
      </c>
      <c r="K28">
        <v>2098</v>
      </c>
    </row>
    <row r="29" spans="1:33" x14ac:dyDescent="0.25">
      <c r="A29">
        <v>28</v>
      </c>
      <c r="C29">
        <v>25</v>
      </c>
      <c r="D29">
        <v>27</v>
      </c>
      <c r="E29">
        <v>26</v>
      </c>
      <c r="F29">
        <v>27</v>
      </c>
      <c r="G29">
        <v>28</v>
      </c>
      <c r="H29">
        <v>35</v>
      </c>
      <c r="I29">
        <v>37</v>
      </c>
      <c r="J29">
        <v>48</v>
      </c>
      <c r="K29">
        <v>2138</v>
      </c>
    </row>
    <row r="30" spans="1:33" x14ac:dyDescent="0.25">
      <c r="A30">
        <v>29</v>
      </c>
      <c r="C30">
        <v>26</v>
      </c>
      <c r="D30">
        <v>27</v>
      </c>
      <c r="E30">
        <v>27</v>
      </c>
      <c r="F30">
        <v>27</v>
      </c>
      <c r="G30">
        <v>29</v>
      </c>
      <c r="H30">
        <v>34</v>
      </c>
      <c r="I30">
        <v>38</v>
      </c>
      <c r="J30">
        <v>50</v>
      </c>
      <c r="K30">
        <v>2206</v>
      </c>
    </row>
    <row r="31" spans="1:33" x14ac:dyDescent="0.25">
      <c r="A31">
        <v>30</v>
      </c>
      <c r="C31">
        <v>26</v>
      </c>
      <c r="D31">
        <v>27</v>
      </c>
      <c r="E31">
        <v>27</v>
      </c>
      <c r="F31">
        <v>28</v>
      </c>
      <c r="G31">
        <v>29</v>
      </c>
      <c r="H31">
        <v>33</v>
      </c>
      <c r="I31">
        <v>41</v>
      </c>
      <c r="J31">
        <v>52</v>
      </c>
      <c r="K31">
        <v>2345</v>
      </c>
    </row>
    <row r="32" spans="1:33" x14ac:dyDescent="0.25">
      <c r="A32">
        <v>31</v>
      </c>
      <c r="C32">
        <v>26</v>
      </c>
      <c r="D32">
        <v>27</v>
      </c>
      <c r="E32">
        <v>27</v>
      </c>
      <c r="F32">
        <v>28</v>
      </c>
      <c r="G32">
        <v>29</v>
      </c>
      <c r="H32">
        <v>33</v>
      </c>
      <c r="I32">
        <v>37</v>
      </c>
      <c r="J32">
        <v>51</v>
      </c>
      <c r="K32">
        <v>2405</v>
      </c>
    </row>
    <row r="33" spans="1:11" x14ac:dyDescent="0.25">
      <c r="A33">
        <v>32</v>
      </c>
      <c r="C33">
        <v>26</v>
      </c>
      <c r="D33">
        <v>27</v>
      </c>
      <c r="E33">
        <v>27</v>
      </c>
      <c r="F33">
        <v>28</v>
      </c>
      <c r="G33">
        <v>29</v>
      </c>
      <c r="H33">
        <v>34</v>
      </c>
      <c r="I33">
        <v>38</v>
      </c>
      <c r="J33">
        <v>54</v>
      </c>
      <c r="K33">
        <v>2441</v>
      </c>
    </row>
    <row r="34" spans="1:11" x14ac:dyDescent="0.25">
      <c r="A34">
        <v>33</v>
      </c>
      <c r="C34">
        <v>26</v>
      </c>
      <c r="D34">
        <v>28</v>
      </c>
      <c r="E34">
        <v>26</v>
      </c>
      <c r="F34">
        <v>29</v>
      </c>
      <c r="G34">
        <v>28</v>
      </c>
      <c r="H34">
        <v>34</v>
      </c>
      <c r="I34">
        <v>39</v>
      </c>
      <c r="J34">
        <v>53</v>
      </c>
      <c r="K34">
        <v>2541</v>
      </c>
    </row>
    <row r="35" spans="1:11" x14ac:dyDescent="0.25">
      <c r="A35">
        <v>34</v>
      </c>
      <c r="C35">
        <v>26</v>
      </c>
      <c r="D35">
        <v>27</v>
      </c>
      <c r="E35">
        <v>27</v>
      </c>
      <c r="F35">
        <v>28</v>
      </c>
      <c r="G35">
        <v>30</v>
      </c>
      <c r="H35">
        <v>35</v>
      </c>
      <c r="I35">
        <v>37</v>
      </c>
      <c r="J35">
        <v>55</v>
      </c>
      <c r="K35">
        <v>2644</v>
      </c>
    </row>
    <row r="36" spans="1:11" x14ac:dyDescent="0.25">
      <c r="A36">
        <v>35</v>
      </c>
      <c r="C36">
        <v>26</v>
      </c>
      <c r="D36">
        <v>28</v>
      </c>
      <c r="E36">
        <v>27</v>
      </c>
      <c r="F36">
        <v>28</v>
      </c>
      <c r="G36">
        <v>29</v>
      </c>
      <c r="H36">
        <v>34</v>
      </c>
      <c r="I36">
        <v>38</v>
      </c>
      <c r="J36">
        <v>55</v>
      </c>
      <c r="K36">
        <v>2701</v>
      </c>
    </row>
    <row r="37" spans="1:11" x14ac:dyDescent="0.25">
      <c r="A37">
        <v>36</v>
      </c>
      <c r="C37">
        <v>26</v>
      </c>
      <c r="D37">
        <v>27</v>
      </c>
      <c r="E37">
        <v>27</v>
      </c>
      <c r="F37">
        <v>28</v>
      </c>
      <c r="G37">
        <v>31</v>
      </c>
      <c r="H37">
        <v>36</v>
      </c>
      <c r="I37">
        <v>37</v>
      </c>
      <c r="J37">
        <v>55</v>
      </c>
      <c r="K37">
        <v>2728</v>
      </c>
    </row>
    <row r="38" spans="1:11" x14ac:dyDescent="0.25">
      <c r="A38">
        <v>37</v>
      </c>
      <c r="C38">
        <v>26</v>
      </c>
      <c r="D38">
        <v>27</v>
      </c>
      <c r="E38">
        <v>27</v>
      </c>
      <c r="F38">
        <v>27</v>
      </c>
      <c r="G38">
        <v>30</v>
      </c>
      <c r="H38">
        <v>33</v>
      </c>
      <c r="I38">
        <v>38</v>
      </c>
      <c r="J38">
        <v>61</v>
      </c>
      <c r="K38">
        <v>2826</v>
      </c>
    </row>
    <row r="39" spans="1:11" x14ac:dyDescent="0.25">
      <c r="A39">
        <v>38</v>
      </c>
      <c r="C39">
        <v>26</v>
      </c>
      <c r="D39">
        <v>28</v>
      </c>
      <c r="E39">
        <v>27</v>
      </c>
      <c r="F39">
        <v>28</v>
      </c>
      <c r="G39">
        <v>29</v>
      </c>
      <c r="H39">
        <v>33</v>
      </c>
      <c r="I39">
        <v>41</v>
      </c>
      <c r="J39">
        <v>59</v>
      </c>
      <c r="K39">
        <v>2907</v>
      </c>
    </row>
    <row r="40" spans="1:11" x14ac:dyDescent="0.25">
      <c r="A40">
        <v>39</v>
      </c>
      <c r="C40">
        <v>26</v>
      </c>
      <c r="D40">
        <v>27</v>
      </c>
      <c r="E40">
        <v>27</v>
      </c>
      <c r="F40">
        <v>28</v>
      </c>
      <c r="G40">
        <v>28</v>
      </c>
      <c r="H40">
        <v>37</v>
      </c>
      <c r="I40">
        <v>38</v>
      </c>
      <c r="J40">
        <v>59</v>
      </c>
      <c r="K40">
        <v>3037</v>
      </c>
    </row>
    <row r="41" spans="1:11" x14ac:dyDescent="0.25">
      <c r="A41">
        <v>40</v>
      </c>
      <c r="C41">
        <v>25</v>
      </c>
      <c r="D41">
        <v>27</v>
      </c>
      <c r="E41">
        <v>27</v>
      </c>
      <c r="F41">
        <v>28</v>
      </c>
      <c r="G41">
        <v>29</v>
      </c>
      <c r="H41">
        <v>32</v>
      </c>
      <c r="I41">
        <v>38</v>
      </c>
      <c r="J41">
        <v>60</v>
      </c>
      <c r="K41">
        <v>3012</v>
      </c>
    </row>
    <row r="42" spans="1:11" x14ac:dyDescent="0.25">
      <c r="A42">
        <v>41</v>
      </c>
      <c r="C42">
        <v>26</v>
      </c>
      <c r="D42">
        <v>27</v>
      </c>
      <c r="E42">
        <v>27</v>
      </c>
      <c r="F42">
        <v>28</v>
      </c>
      <c r="G42">
        <v>29</v>
      </c>
      <c r="H42">
        <v>35</v>
      </c>
      <c r="I42">
        <v>40</v>
      </c>
      <c r="J42">
        <v>63</v>
      </c>
      <c r="K42">
        <v>3154</v>
      </c>
    </row>
    <row r="43" spans="1:11" x14ac:dyDescent="0.25">
      <c r="A43">
        <v>42</v>
      </c>
      <c r="C43">
        <v>26</v>
      </c>
      <c r="D43">
        <v>27</v>
      </c>
      <c r="E43">
        <v>27</v>
      </c>
      <c r="F43">
        <v>27</v>
      </c>
      <c r="G43">
        <v>33</v>
      </c>
      <c r="H43">
        <v>38</v>
      </c>
      <c r="I43">
        <v>40</v>
      </c>
      <c r="J43">
        <v>63</v>
      </c>
      <c r="K43">
        <v>3283</v>
      </c>
    </row>
    <row r="44" spans="1:11" x14ac:dyDescent="0.25">
      <c r="A44">
        <v>43</v>
      </c>
      <c r="C44">
        <v>26</v>
      </c>
      <c r="D44">
        <v>27</v>
      </c>
      <c r="E44">
        <v>27</v>
      </c>
      <c r="F44">
        <v>28</v>
      </c>
      <c r="G44">
        <v>29</v>
      </c>
      <c r="H44">
        <v>34</v>
      </c>
      <c r="I44">
        <v>39</v>
      </c>
      <c r="J44">
        <v>63</v>
      </c>
      <c r="K44">
        <v>3310</v>
      </c>
    </row>
    <row r="45" spans="1:11" x14ac:dyDescent="0.25">
      <c r="A45">
        <v>44</v>
      </c>
      <c r="C45">
        <v>26</v>
      </c>
      <c r="D45">
        <v>27</v>
      </c>
      <c r="E45">
        <v>29</v>
      </c>
      <c r="F45">
        <v>30</v>
      </c>
      <c r="G45">
        <v>29</v>
      </c>
      <c r="H45">
        <v>34</v>
      </c>
      <c r="I45">
        <v>37</v>
      </c>
      <c r="J45">
        <v>66</v>
      </c>
      <c r="K45">
        <v>3404</v>
      </c>
    </row>
    <row r="46" spans="1:11" x14ac:dyDescent="0.25">
      <c r="A46">
        <v>45</v>
      </c>
      <c r="C46">
        <v>26</v>
      </c>
      <c r="D46">
        <v>26</v>
      </c>
      <c r="E46">
        <v>28</v>
      </c>
      <c r="F46">
        <v>27</v>
      </c>
      <c r="G46">
        <v>29</v>
      </c>
      <c r="H46">
        <v>38</v>
      </c>
      <c r="I46">
        <v>38</v>
      </c>
      <c r="J46">
        <v>67</v>
      </c>
      <c r="K46">
        <v>3421</v>
      </c>
    </row>
    <row r="47" spans="1:11" x14ac:dyDescent="0.25">
      <c r="A47">
        <v>46</v>
      </c>
      <c r="C47">
        <v>26</v>
      </c>
      <c r="D47">
        <v>27</v>
      </c>
      <c r="E47">
        <v>27</v>
      </c>
      <c r="F47">
        <v>29</v>
      </c>
      <c r="G47">
        <v>29</v>
      </c>
      <c r="H47">
        <v>33</v>
      </c>
      <c r="I47">
        <v>40</v>
      </c>
      <c r="J47">
        <v>67</v>
      </c>
      <c r="K47">
        <v>3592</v>
      </c>
    </row>
    <row r="48" spans="1:11" x14ac:dyDescent="0.25">
      <c r="A48">
        <v>47</v>
      </c>
      <c r="C48">
        <v>26</v>
      </c>
      <c r="D48">
        <v>27</v>
      </c>
      <c r="E48">
        <v>27</v>
      </c>
      <c r="F48">
        <v>28</v>
      </c>
      <c r="G48">
        <v>29</v>
      </c>
      <c r="H48">
        <v>33</v>
      </c>
      <c r="I48">
        <v>38</v>
      </c>
      <c r="J48">
        <v>68</v>
      </c>
      <c r="K48">
        <v>3650</v>
      </c>
    </row>
    <row r="49" spans="1:11" x14ac:dyDescent="0.25">
      <c r="A49">
        <v>48</v>
      </c>
      <c r="C49">
        <v>26</v>
      </c>
      <c r="D49">
        <v>28</v>
      </c>
      <c r="E49">
        <v>27</v>
      </c>
      <c r="F49">
        <v>28</v>
      </c>
      <c r="G49">
        <v>32</v>
      </c>
      <c r="H49">
        <v>40</v>
      </c>
      <c r="I49">
        <v>39</v>
      </c>
      <c r="J49">
        <v>69</v>
      </c>
      <c r="K49">
        <v>3736</v>
      </c>
    </row>
    <row r="50" spans="1:11" x14ac:dyDescent="0.25">
      <c r="A50">
        <v>49</v>
      </c>
      <c r="C50">
        <v>27</v>
      </c>
      <c r="D50">
        <v>27</v>
      </c>
      <c r="E50">
        <v>27</v>
      </c>
      <c r="F50">
        <v>28</v>
      </c>
      <c r="G50">
        <v>29</v>
      </c>
      <c r="H50">
        <v>33</v>
      </c>
      <c r="I50">
        <v>38</v>
      </c>
      <c r="J50">
        <v>71</v>
      </c>
      <c r="K50">
        <v>3811</v>
      </c>
    </row>
    <row r="51" spans="1:11" x14ac:dyDescent="0.25">
      <c r="A51">
        <v>50</v>
      </c>
      <c r="C51">
        <v>26</v>
      </c>
      <c r="D51">
        <v>27</v>
      </c>
      <c r="E51">
        <v>27</v>
      </c>
      <c r="F51">
        <v>27</v>
      </c>
      <c r="G51">
        <v>29</v>
      </c>
      <c r="H51">
        <v>34</v>
      </c>
      <c r="I51">
        <v>38</v>
      </c>
      <c r="J51">
        <v>70</v>
      </c>
      <c r="K51">
        <v>3870</v>
      </c>
    </row>
    <row r="52" spans="1:11" x14ac:dyDescent="0.25">
      <c r="A52">
        <v>51</v>
      </c>
      <c r="C52">
        <v>26</v>
      </c>
      <c r="D52">
        <v>27</v>
      </c>
      <c r="E52">
        <v>28</v>
      </c>
      <c r="F52">
        <v>28</v>
      </c>
      <c r="G52">
        <v>29</v>
      </c>
      <c r="H52">
        <v>40</v>
      </c>
      <c r="I52">
        <v>39</v>
      </c>
      <c r="J52">
        <v>72</v>
      </c>
      <c r="K52">
        <v>3976</v>
      </c>
    </row>
    <row r="53" spans="1:11" x14ac:dyDescent="0.25">
      <c r="A53">
        <v>52</v>
      </c>
      <c r="C53">
        <v>26</v>
      </c>
      <c r="D53">
        <v>27</v>
      </c>
      <c r="E53">
        <v>27</v>
      </c>
      <c r="F53">
        <v>28</v>
      </c>
      <c r="G53">
        <v>30</v>
      </c>
      <c r="H53">
        <v>34</v>
      </c>
      <c r="I53">
        <v>39</v>
      </c>
      <c r="J53">
        <v>72</v>
      </c>
      <c r="K53">
        <v>4005</v>
      </c>
    </row>
    <row r="54" spans="1:11" x14ac:dyDescent="0.25">
      <c r="A54">
        <v>53</v>
      </c>
      <c r="C54">
        <v>26</v>
      </c>
      <c r="D54">
        <v>27</v>
      </c>
      <c r="E54">
        <v>27</v>
      </c>
      <c r="F54">
        <v>28</v>
      </c>
      <c r="G54">
        <v>30</v>
      </c>
      <c r="H54">
        <v>33</v>
      </c>
      <c r="I54">
        <v>40</v>
      </c>
      <c r="J54">
        <v>74</v>
      </c>
      <c r="K54">
        <v>4083</v>
      </c>
    </row>
    <row r="55" spans="1:11" x14ac:dyDescent="0.25">
      <c r="A55">
        <v>54</v>
      </c>
      <c r="C55">
        <v>26</v>
      </c>
      <c r="D55">
        <v>27</v>
      </c>
      <c r="E55">
        <v>26</v>
      </c>
      <c r="F55">
        <v>28</v>
      </c>
      <c r="G55">
        <v>33</v>
      </c>
      <c r="H55">
        <v>41</v>
      </c>
      <c r="I55">
        <v>39</v>
      </c>
      <c r="J55">
        <v>76</v>
      </c>
      <c r="K55">
        <v>4162</v>
      </c>
    </row>
    <row r="56" spans="1:11" x14ac:dyDescent="0.25">
      <c r="A56">
        <v>55</v>
      </c>
      <c r="C56">
        <v>27</v>
      </c>
      <c r="D56">
        <v>27</v>
      </c>
      <c r="E56">
        <v>27</v>
      </c>
      <c r="F56">
        <v>31</v>
      </c>
      <c r="G56">
        <v>29</v>
      </c>
      <c r="H56">
        <v>35</v>
      </c>
      <c r="I56">
        <v>40</v>
      </c>
      <c r="J56">
        <v>78</v>
      </c>
      <c r="K56">
        <v>4289</v>
      </c>
    </row>
    <row r="57" spans="1:11" x14ac:dyDescent="0.25">
      <c r="A57">
        <v>56</v>
      </c>
      <c r="C57">
        <v>26</v>
      </c>
      <c r="D57">
        <v>27</v>
      </c>
      <c r="E57">
        <v>28</v>
      </c>
      <c r="F57">
        <v>28</v>
      </c>
      <c r="G57">
        <v>29</v>
      </c>
      <c r="H57">
        <v>34</v>
      </c>
      <c r="I57">
        <v>38</v>
      </c>
      <c r="J57">
        <v>76</v>
      </c>
      <c r="K57">
        <v>4330</v>
      </c>
    </row>
    <row r="58" spans="1:11" x14ac:dyDescent="0.25">
      <c r="A58">
        <v>57</v>
      </c>
      <c r="C58">
        <v>26</v>
      </c>
      <c r="D58">
        <v>27</v>
      </c>
      <c r="E58">
        <v>28</v>
      </c>
      <c r="F58">
        <v>27</v>
      </c>
      <c r="G58">
        <v>28</v>
      </c>
      <c r="H58">
        <v>42</v>
      </c>
      <c r="I58">
        <v>40</v>
      </c>
      <c r="J58">
        <v>78</v>
      </c>
      <c r="K58">
        <v>4417</v>
      </c>
    </row>
    <row r="59" spans="1:11" x14ac:dyDescent="0.25">
      <c r="A59">
        <v>58</v>
      </c>
      <c r="C59">
        <v>26</v>
      </c>
      <c r="D59">
        <v>28</v>
      </c>
      <c r="E59">
        <v>27</v>
      </c>
      <c r="F59">
        <v>29</v>
      </c>
      <c r="G59">
        <v>29</v>
      </c>
      <c r="H59">
        <v>33</v>
      </c>
      <c r="I59">
        <v>39</v>
      </c>
      <c r="J59">
        <v>79</v>
      </c>
      <c r="K59">
        <v>4500</v>
      </c>
    </row>
    <row r="60" spans="1:11" x14ac:dyDescent="0.25">
      <c r="A60">
        <v>59</v>
      </c>
      <c r="C60">
        <v>26</v>
      </c>
      <c r="D60">
        <v>27</v>
      </c>
      <c r="E60">
        <v>27</v>
      </c>
      <c r="F60">
        <v>28</v>
      </c>
      <c r="G60">
        <v>30</v>
      </c>
      <c r="H60">
        <v>33</v>
      </c>
      <c r="I60">
        <v>39</v>
      </c>
      <c r="J60">
        <v>78</v>
      </c>
      <c r="K60">
        <v>4571</v>
      </c>
    </row>
    <row r="61" spans="1:11" x14ac:dyDescent="0.25">
      <c r="A61">
        <v>60</v>
      </c>
      <c r="C61">
        <v>26</v>
      </c>
      <c r="D61">
        <v>27</v>
      </c>
      <c r="E61">
        <v>27</v>
      </c>
      <c r="F61">
        <v>29</v>
      </c>
      <c r="G61">
        <v>35</v>
      </c>
      <c r="H61">
        <v>44</v>
      </c>
      <c r="I61">
        <v>40</v>
      </c>
      <c r="J61">
        <v>82</v>
      </c>
      <c r="K61">
        <v>4631</v>
      </c>
    </row>
    <row r="62" spans="1:11" x14ac:dyDescent="0.25">
      <c r="A62">
        <v>61</v>
      </c>
      <c r="C62">
        <v>26</v>
      </c>
      <c r="D62">
        <v>28</v>
      </c>
      <c r="E62">
        <v>28</v>
      </c>
      <c r="F62">
        <v>29</v>
      </c>
      <c r="G62">
        <v>30</v>
      </c>
      <c r="H62">
        <v>34</v>
      </c>
      <c r="I62">
        <v>39</v>
      </c>
      <c r="J62">
        <v>82</v>
      </c>
      <c r="K62">
        <v>4727</v>
      </c>
    </row>
    <row r="63" spans="1:11" x14ac:dyDescent="0.25">
      <c r="A63">
        <v>62</v>
      </c>
      <c r="C63">
        <v>26</v>
      </c>
      <c r="D63">
        <v>28</v>
      </c>
      <c r="E63">
        <v>28</v>
      </c>
      <c r="F63">
        <v>29</v>
      </c>
      <c r="G63">
        <v>29</v>
      </c>
      <c r="H63">
        <v>34</v>
      </c>
      <c r="I63">
        <v>39</v>
      </c>
      <c r="J63">
        <v>86</v>
      </c>
      <c r="K63">
        <v>2526</v>
      </c>
    </row>
    <row r="64" spans="1:11" x14ac:dyDescent="0.25">
      <c r="A64">
        <v>63</v>
      </c>
      <c r="C64">
        <v>26</v>
      </c>
      <c r="D64">
        <v>28</v>
      </c>
      <c r="E64">
        <v>28</v>
      </c>
      <c r="F64">
        <v>28</v>
      </c>
      <c r="G64">
        <v>30</v>
      </c>
      <c r="H64">
        <v>44</v>
      </c>
      <c r="I64">
        <v>39</v>
      </c>
      <c r="J64">
        <v>87</v>
      </c>
      <c r="K64">
        <v>2371</v>
      </c>
    </row>
    <row r="65" spans="1:27" x14ac:dyDescent="0.25">
      <c r="A65">
        <v>64</v>
      </c>
      <c r="C65">
        <v>26</v>
      </c>
      <c r="D65">
        <v>28</v>
      </c>
      <c r="E65">
        <v>27</v>
      </c>
      <c r="F65">
        <v>28</v>
      </c>
      <c r="G65">
        <v>30</v>
      </c>
      <c r="H65">
        <v>33</v>
      </c>
      <c r="I65">
        <v>39</v>
      </c>
      <c r="J65">
        <v>86</v>
      </c>
      <c r="K65">
        <v>2294</v>
      </c>
    </row>
    <row r="66" spans="1:27" x14ac:dyDescent="0.25">
      <c r="A66">
        <v>65</v>
      </c>
      <c r="C66">
        <v>26</v>
      </c>
      <c r="D66">
        <v>26</v>
      </c>
      <c r="E66">
        <v>27</v>
      </c>
      <c r="F66">
        <v>27</v>
      </c>
      <c r="G66">
        <v>29</v>
      </c>
      <c r="H66">
        <v>34</v>
      </c>
      <c r="I66">
        <v>38</v>
      </c>
      <c r="J66">
        <v>85</v>
      </c>
      <c r="K66">
        <v>1685</v>
      </c>
      <c r="AA66">
        <v>21</v>
      </c>
    </row>
    <row r="67" spans="1:27" x14ac:dyDescent="0.25">
      <c r="C67">
        <f>_xlfn.CEILING.MATH(AVERAGE(C2:C66),0.25)</f>
        <v>26</v>
      </c>
      <c r="D67">
        <f t="shared" ref="D67:K67" si="2">_xlfn.CEILING.MATH(AVERAGE(D2:D66),0.25)</f>
        <v>27.25</v>
      </c>
      <c r="E67">
        <f t="shared" si="2"/>
        <v>27.25</v>
      </c>
      <c r="F67">
        <f t="shared" si="2"/>
        <v>28</v>
      </c>
      <c r="G67">
        <f t="shared" si="2"/>
        <v>29.25</v>
      </c>
      <c r="H67">
        <f t="shared" si="2"/>
        <v>33.75</v>
      </c>
      <c r="I67">
        <f t="shared" si="2"/>
        <v>38.75</v>
      </c>
      <c r="J67">
        <f t="shared" si="2"/>
        <v>54</v>
      </c>
      <c r="K67">
        <f t="shared" si="2"/>
        <v>2368.75</v>
      </c>
      <c r="AA67">
        <v>21</v>
      </c>
    </row>
    <row r="68" spans="1:27" x14ac:dyDescent="0.25">
      <c r="C68" t="str">
        <f>C1</f>
        <v>FP</v>
      </c>
      <c r="D68" t="str">
        <f t="shared" ref="D68:J68" si="3">D1</f>
        <v>HS33</v>
      </c>
      <c r="E68" t="str">
        <f t="shared" si="3"/>
        <v>HS22</v>
      </c>
      <c r="F68" t="str">
        <f t="shared" si="3"/>
        <v>HS11</v>
      </c>
      <c r="G68" t="str">
        <f t="shared" si="3"/>
        <v>HS6</v>
      </c>
      <c r="H68" t="str">
        <f t="shared" si="3"/>
        <v>HS3</v>
      </c>
      <c r="I68" t="str">
        <f t="shared" si="3"/>
        <v>HS2</v>
      </c>
      <c r="J68" t="str">
        <f t="shared" si="3"/>
        <v>HS1</v>
      </c>
      <c r="AA68">
        <v>22</v>
      </c>
    </row>
    <row r="69" spans="1:27" x14ac:dyDescent="0.25">
      <c r="AA69">
        <v>21</v>
      </c>
    </row>
    <row r="70" spans="1:27" x14ac:dyDescent="0.25">
      <c r="AA70">
        <v>22</v>
      </c>
    </row>
    <row r="71" spans="1:27" x14ac:dyDescent="0.25">
      <c r="AA71">
        <v>24</v>
      </c>
    </row>
    <row r="72" spans="1:27" x14ac:dyDescent="0.25">
      <c r="AA72">
        <v>22</v>
      </c>
    </row>
    <row r="73" spans="1:27" x14ac:dyDescent="0.25">
      <c r="AA73">
        <v>22</v>
      </c>
    </row>
    <row r="74" spans="1:27" x14ac:dyDescent="0.25">
      <c r="AA74">
        <v>21</v>
      </c>
    </row>
    <row r="75" spans="1:27" x14ac:dyDescent="0.25">
      <c r="AA75">
        <v>22</v>
      </c>
    </row>
    <row r="76" spans="1:27" x14ac:dyDescent="0.25">
      <c r="AA76">
        <v>24</v>
      </c>
    </row>
    <row r="77" spans="1:27" x14ac:dyDescent="0.25">
      <c r="AA77">
        <v>24</v>
      </c>
    </row>
    <row r="78" spans="1:27" x14ac:dyDescent="0.25">
      <c r="AA78">
        <v>22</v>
      </c>
    </row>
    <row r="79" spans="1:27" x14ac:dyDescent="0.25">
      <c r="AA79">
        <v>22</v>
      </c>
    </row>
    <row r="80" spans="1:27" x14ac:dyDescent="0.25">
      <c r="AA80">
        <v>21</v>
      </c>
    </row>
    <row r="81" spans="12:27" x14ac:dyDescent="0.25">
      <c r="AA81">
        <v>21</v>
      </c>
    </row>
    <row r="82" spans="12:27" x14ac:dyDescent="0.25">
      <c r="AA82">
        <v>28</v>
      </c>
    </row>
    <row r="83" spans="12:27" x14ac:dyDescent="0.25">
      <c r="AA83">
        <v>33</v>
      </c>
    </row>
    <row r="84" spans="12:27" x14ac:dyDescent="0.25">
      <c r="L84">
        <v>0</v>
      </c>
      <c r="M84">
        <v>65</v>
      </c>
      <c r="AA84">
        <v>23</v>
      </c>
    </row>
    <row r="85" spans="12:27" x14ac:dyDescent="0.25">
      <c r="L85">
        <v>1</v>
      </c>
      <c r="M85">
        <v>64</v>
      </c>
      <c r="AA85">
        <v>21</v>
      </c>
    </row>
    <row r="86" spans="12:27" x14ac:dyDescent="0.25">
      <c r="L86">
        <v>2</v>
      </c>
      <c r="M86">
        <v>63</v>
      </c>
      <c r="AA86">
        <v>24</v>
      </c>
    </row>
    <row r="87" spans="12:27" x14ac:dyDescent="0.25">
      <c r="L87">
        <v>3</v>
      </c>
      <c r="M87">
        <v>62</v>
      </c>
      <c r="AA87">
        <v>25</v>
      </c>
    </row>
    <row r="88" spans="12:27" x14ac:dyDescent="0.25">
      <c r="L88">
        <v>4</v>
      </c>
      <c r="M88">
        <v>61</v>
      </c>
      <c r="AA88">
        <v>22</v>
      </c>
    </row>
    <row r="89" spans="12:27" x14ac:dyDescent="0.25">
      <c r="L89">
        <v>5</v>
      </c>
      <c r="M89">
        <v>60</v>
      </c>
      <c r="AA89">
        <v>22</v>
      </c>
    </row>
    <row r="90" spans="12:27" x14ac:dyDescent="0.25">
      <c r="L90">
        <v>6</v>
      </c>
      <c r="M90">
        <v>59</v>
      </c>
      <c r="AA90">
        <v>24</v>
      </c>
    </row>
    <row r="91" spans="12:27" x14ac:dyDescent="0.25">
      <c r="L91">
        <v>7</v>
      </c>
      <c r="M91">
        <v>58</v>
      </c>
    </row>
    <row r="92" spans="12:27" x14ac:dyDescent="0.25">
      <c r="L92">
        <v>8</v>
      </c>
      <c r="M92">
        <v>57</v>
      </c>
      <c r="AA92">
        <f>AVERAGE(AA66:AA90)</f>
        <v>22.96</v>
      </c>
    </row>
    <row r="93" spans="12:27" x14ac:dyDescent="0.25">
      <c r="L93">
        <v>9</v>
      </c>
      <c r="M93">
        <v>56</v>
      </c>
    </row>
    <row r="94" spans="12:27" x14ac:dyDescent="0.25">
      <c r="L94">
        <v>10</v>
      </c>
      <c r="M94">
        <v>55</v>
      </c>
    </row>
    <row r="95" spans="12:27" x14ac:dyDescent="0.25">
      <c r="L95">
        <v>11</v>
      </c>
      <c r="M95">
        <v>54</v>
      </c>
    </row>
    <row r="96" spans="12:27" x14ac:dyDescent="0.25">
      <c r="L96">
        <v>12</v>
      </c>
      <c r="M96">
        <v>53</v>
      </c>
    </row>
    <row r="97" spans="12:13" x14ac:dyDescent="0.25">
      <c r="L97">
        <v>13</v>
      </c>
      <c r="M97">
        <v>52</v>
      </c>
    </row>
    <row r="98" spans="12:13" x14ac:dyDescent="0.25">
      <c r="L98">
        <v>14</v>
      </c>
      <c r="M98">
        <v>51</v>
      </c>
    </row>
    <row r="99" spans="12:13" x14ac:dyDescent="0.25">
      <c r="L99">
        <v>15</v>
      </c>
      <c r="M99">
        <v>50</v>
      </c>
    </row>
    <row r="100" spans="12:13" x14ac:dyDescent="0.25">
      <c r="L100">
        <v>16</v>
      </c>
      <c r="M100">
        <v>49</v>
      </c>
    </row>
    <row r="101" spans="12:13" x14ac:dyDescent="0.25">
      <c r="L101">
        <v>17</v>
      </c>
      <c r="M101">
        <v>48</v>
      </c>
    </row>
    <row r="102" spans="12:13" x14ac:dyDescent="0.25">
      <c r="L102">
        <v>18</v>
      </c>
      <c r="M102">
        <v>47</v>
      </c>
    </row>
    <row r="103" spans="12:13" x14ac:dyDescent="0.25">
      <c r="L103">
        <v>19</v>
      </c>
      <c r="M103">
        <v>46</v>
      </c>
    </row>
    <row r="104" spans="12:13" x14ac:dyDescent="0.25">
      <c r="L104">
        <v>20</v>
      </c>
      <c r="M104">
        <v>45</v>
      </c>
    </row>
    <row r="105" spans="12:13" x14ac:dyDescent="0.25">
      <c r="L105">
        <v>21</v>
      </c>
      <c r="M105">
        <v>44</v>
      </c>
    </row>
    <row r="106" spans="12:13" x14ac:dyDescent="0.25">
      <c r="L106">
        <v>22</v>
      </c>
      <c r="M106">
        <v>43</v>
      </c>
    </row>
    <row r="107" spans="12:13" x14ac:dyDescent="0.25">
      <c r="L107">
        <v>23</v>
      </c>
      <c r="M107">
        <v>42</v>
      </c>
    </row>
    <row r="108" spans="12:13" x14ac:dyDescent="0.25">
      <c r="L108">
        <v>24</v>
      </c>
      <c r="M108">
        <v>41</v>
      </c>
    </row>
    <row r="109" spans="12:13" x14ac:dyDescent="0.25">
      <c r="L109">
        <v>25</v>
      </c>
      <c r="M109">
        <v>40</v>
      </c>
    </row>
    <row r="110" spans="12:13" x14ac:dyDescent="0.25">
      <c r="L110">
        <v>26</v>
      </c>
      <c r="M110">
        <v>39</v>
      </c>
    </row>
    <row r="111" spans="12:13" x14ac:dyDescent="0.25">
      <c r="L111">
        <v>27</v>
      </c>
      <c r="M111">
        <v>38</v>
      </c>
    </row>
    <row r="112" spans="12:13" x14ac:dyDescent="0.25">
      <c r="L112">
        <v>28</v>
      </c>
      <c r="M112">
        <v>37</v>
      </c>
    </row>
    <row r="113" spans="12:13" x14ac:dyDescent="0.25">
      <c r="L113">
        <v>29</v>
      </c>
      <c r="M113">
        <v>36</v>
      </c>
    </row>
    <row r="114" spans="12:13" x14ac:dyDescent="0.25">
      <c r="L114">
        <v>30</v>
      </c>
      <c r="M114">
        <v>35</v>
      </c>
    </row>
    <row r="115" spans="12:13" x14ac:dyDescent="0.25">
      <c r="L115">
        <v>31</v>
      </c>
      <c r="M115">
        <v>34</v>
      </c>
    </row>
    <row r="116" spans="12:13" x14ac:dyDescent="0.25">
      <c r="L116">
        <v>32</v>
      </c>
      <c r="M116">
        <v>33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3D10-85E6-42F7-80EE-B4D961CC796A}">
  <dimension ref="A1:T66"/>
  <sheetViews>
    <sheetView topLeftCell="D1" zoomScale="130" zoomScaleNormal="130" workbookViewId="0">
      <selection activeCell="P15" sqref="P15"/>
    </sheetView>
  </sheetViews>
  <sheetFormatPr defaultRowHeight="15" x14ac:dyDescent="0.25"/>
  <sheetData>
    <row r="1" spans="1:20" x14ac:dyDescent="0.25">
      <c r="A1" t="s">
        <v>981</v>
      </c>
      <c r="B1" t="s">
        <v>1006</v>
      </c>
      <c r="D1" t="s">
        <v>981</v>
      </c>
      <c r="E1" t="s">
        <v>1005</v>
      </c>
      <c r="J1" t="s">
        <v>981</v>
      </c>
      <c r="L1" t="s">
        <v>1004</v>
      </c>
      <c r="M1" t="s">
        <v>990</v>
      </c>
      <c r="N1" t="s">
        <v>989</v>
      </c>
      <c r="O1" t="s">
        <v>988</v>
      </c>
      <c r="P1" t="s">
        <v>983</v>
      </c>
      <c r="Q1" t="s">
        <v>984</v>
      </c>
      <c r="R1" t="s">
        <v>987</v>
      </c>
      <c r="S1" t="s">
        <v>986</v>
      </c>
      <c r="T1" t="s">
        <v>993</v>
      </c>
    </row>
    <row r="2" spans="1:20" x14ac:dyDescent="0.25">
      <c r="A2">
        <v>1</v>
      </c>
      <c r="B2">
        <v>33</v>
      </c>
      <c r="D2">
        <v>3</v>
      </c>
      <c r="E2">
        <v>24</v>
      </c>
      <c r="J2">
        <v>1</v>
      </c>
      <c r="L2">
        <v>26</v>
      </c>
      <c r="M2">
        <v>26</v>
      </c>
      <c r="N2">
        <v>26</v>
      </c>
      <c r="O2">
        <v>28</v>
      </c>
      <c r="P2">
        <v>28</v>
      </c>
      <c r="Q2">
        <v>33</v>
      </c>
      <c r="R2">
        <v>39</v>
      </c>
      <c r="S2">
        <v>21</v>
      </c>
      <c r="T2">
        <v>69</v>
      </c>
    </row>
    <row r="3" spans="1:20" x14ac:dyDescent="0.25">
      <c r="A3">
        <v>2</v>
      </c>
      <c r="B3">
        <v>32</v>
      </c>
      <c r="D3">
        <v>6</v>
      </c>
      <c r="E3">
        <v>25</v>
      </c>
      <c r="J3">
        <v>2</v>
      </c>
      <c r="L3">
        <v>26</v>
      </c>
      <c r="M3">
        <v>26</v>
      </c>
      <c r="N3">
        <v>26</v>
      </c>
      <c r="O3">
        <v>28</v>
      </c>
      <c r="P3">
        <v>29</v>
      </c>
      <c r="Q3">
        <v>32</v>
      </c>
      <c r="R3">
        <v>38</v>
      </c>
      <c r="S3">
        <v>23</v>
      </c>
      <c r="T3">
        <v>105</v>
      </c>
    </row>
    <row r="4" spans="1:20" x14ac:dyDescent="0.25">
      <c r="D4">
        <v>9</v>
      </c>
      <c r="E4">
        <v>26</v>
      </c>
      <c r="J4">
        <v>3</v>
      </c>
      <c r="L4">
        <v>26</v>
      </c>
      <c r="M4">
        <v>27</v>
      </c>
      <c r="N4">
        <v>27</v>
      </c>
      <c r="O4">
        <v>28</v>
      </c>
      <c r="P4">
        <v>28</v>
      </c>
      <c r="Q4">
        <v>24</v>
      </c>
      <c r="R4">
        <v>39</v>
      </c>
      <c r="S4">
        <v>23</v>
      </c>
      <c r="T4">
        <v>184</v>
      </c>
    </row>
    <row r="5" spans="1:20" x14ac:dyDescent="0.25">
      <c r="A5">
        <v>4</v>
      </c>
      <c r="B5">
        <v>34</v>
      </c>
      <c r="D5">
        <v>12</v>
      </c>
      <c r="E5">
        <v>26</v>
      </c>
      <c r="J5">
        <v>4</v>
      </c>
      <c r="L5">
        <v>26</v>
      </c>
      <c r="M5">
        <v>27</v>
      </c>
      <c r="N5">
        <v>27</v>
      </c>
      <c r="O5">
        <v>28</v>
      </c>
      <c r="P5">
        <v>30</v>
      </c>
      <c r="Q5">
        <v>34</v>
      </c>
      <c r="R5">
        <v>38</v>
      </c>
      <c r="S5">
        <v>24</v>
      </c>
      <c r="T5">
        <v>255</v>
      </c>
    </row>
    <row r="6" spans="1:20" x14ac:dyDescent="0.25">
      <c r="A6">
        <v>5</v>
      </c>
      <c r="B6">
        <v>33</v>
      </c>
      <c r="D6">
        <v>15</v>
      </c>
      <c r="E6">
        <v>28</v>
      </c>
      <c r="J6">
        <v>5</v>
      </c>
      <c r="L6">
        <v>27</v>
      </c>
      <c r="M6">
        <v>27</v>
      </c>
      <c r="N6">
        <v>27</v>
      </c>
      <c r="O6">
        <v>28</v>
      </c>
      <c r="P6">
        <v>29</v>
      </c>
      <c r="Q6">
        <v>33</v>
      </c>
      <c r="R6">
        <v>39</v>
      </c>
      <c r="S6">
        <v>26</v>
      </c>
      <c r="T6">
        <v>343</v>
      </c>
    </row>
    <row r="7" spans="1:20" x14ac:dyDescent="0.25">
      <c r="D7">
        <v>18</v>
      </c>
      <c r="E7">
        <v>30</v>
      </c>
      <c r="J7">
        <v>6</v>
      </c>
      <c r="L7">
        <v>26</v>
      </c>
      <c r="M7">
        <v>27</v>
      </c>
      <c r="N7">
        <v>27</v>
      </c>
      <c r="O7">
        <v>28</v>
      </c>
      <c r="P7">
        <v>24</v>
      </c>
      <c r="Q7">
        <v>25</v>
      </c>
      <c r="R7">
        <v>37</v>
      </c>
      <c r="S7">
        <v>27</v>
      </c>
      <c r="T7">
        <v>428</v>
      </c>
    </row>
    <row r="8" spans="1:20" x14ac:dyDescent="0.25">
      <c r="A8">
        <v>7</v>
      </c>
      <c r="B8">
        <v>32</v>
      </c>
      <c r="D8">
        <v>21</v>
      </c>
      <c r="E8">
        <v>29</v>
      </c>
      <c r="J8">
        <v>7</v>
      </c>
      <c r="L8">
        <v>26</v>
      </c>
      <c r="M8">
        <v>27</v>
      </c>
      <c r="N8">
        <v>27</v>
      </c>
      <c r="O8">
        <v>28</v>
      </c>
      <c r="P8">
        <v>30</v>
      </c>
      <c r="Q8">
        <v>32</v>
      </c>
      <c r="R8">
        <v>39</v>
      </c>
      <c r="S8">
        <v>28</v>
      </c>
      <c r="T8">
        <v>487</v>
      </c>
    </row>
    <row r="9" spans="1:20" x14ac:dyDescent="0.25">
      <c r="A9">
        <v>8</v>
      </c>
      <c r="B9">
        <v>33</v>
      </c>
      <c r="D9">
        <v>24</v>
      </c>
      <c r="E9">
        <v>31</v>
      </c>
      <c r="J9">
        <v>8</v>
      </c>
      <c r="L9">
        <v>26</v>
      </c>
      <c r="M9">
        <v>27</v>
      </c>
      <c r="N9">
        <v>27</v>
      </c>
      <c r="O9">
        <v>28</v>
      </c>
      <c r="P9">
        <v>29</v>
      </c>
      <c r="Q9">
        <v>33</v>
      </c>
      <c r="R9">
        <v>40</v>
      </c>
      <c r="S9">
        <v>29</v>
      </c>
      <c r="T9">
        <v>558</v>
      </c>
    </row>
    <row r="10" spans="1:20" x14ac:dyDescent="0.25">
      <c r="D10">
        <v>27</v>
      </c>
      <c r="E10">
        <v>32</v>
      </c>
      <c r="J10">
        <v>9</v>
      </c>
      <c r="L10">
        <v>26</v>
      </c>
      <c r="M10">
        <v>26</v>
      </c>
      <c r="N10">
        <v>27</v>
      </c>
      <c r="O10">
        <v>27</v>
      </c>
      <c r="P10">
        <v>29</v>
      </c>
      <c r="Q10">
        <v>26</v>
      </c>
      <c r="R10">
        <v>36</v>
      </c>
      <c r="S10">
        <v>30</v>
      </c>
      <c r="T10">
        <v>635</v>
      </c>
    </row>
    <row r="11" spans="1:20" x14ac:dyDescent="0.25">
      <c r="A11">
        <v>10</v>
      </c>
      <c r="B11">
        <v>33</v>
      </c>
      <c r="D11">
        <v>30</v>
      </c>
      <c r="E11">
        <v>33</v>
      </c>
      <c r="J11">
        <v>10</v>
      </c>
      <c r="L11">
        <v>26</v>
      </c>
      <c r="M11">
        <v>27</v>
      </c>
      <c r="N11">
        <v>27</v>
      </c>
      <c r="O11">
        <v>28</v>
      </c>
      <c r="P11">
        <v>29</v>
      </c>
      <c r="Q11">
        <v>33</v>
      </c>
      <c r="R11">
        <v>38</v>
      </c>
      <c r="S11">
        <v>31</v>
      </c>
      <c r="T11">
        <v>738</v>
      </c>
    </row>
    <row r="12" spans="1:20" x14ac:dyDescent="0.25">
      <c r="A12">
        <v>11</v>
      </c>
      <c r="B12">
        <v>33</v>
      </c>
      <c r="D12">
        <v>33</v>
      </c>
      <c r="E12">
        <v>34</v>
      </c>
      <c r="J12">
        <v>11</v>
      </c>
      <c r="L12">
        <v>26</v>
      </c>
      <c r="M12">
        <v>26</v>
      </c>
      <c r="N12">
        <v>27</v>
      </c>
      <c r="O12">
        <v>26</v>
      </c>
      <c r="P12">
        <v>30</v>
      </c>
      <c r="Q12">
        <v>33</v>
      </c>
      <c r="R12">
        <v>39</v>
      </c>
      <c r="S12">
        <v>32</v>
      </c>
      <c r="T12">
        <v>798</v>
      </c>
    </row>
    <row r="13" spans="1:20" x14ac:dyDescent="0.25">
      <c r="D13">
        <v>36</v>
      </c>
      <c r="E13">
        <v>36</v>
      </c>
    </row>
    <row r="14" spans="1:20" x14ac:dyDescent="0.25">
      <c r="A14">
        <v>13</v>
      </c>
      <c r="B14">
        <v>33</v>
      </c>
      <c r="D14">
        <v>39</v>
      </c>
      <c r="E14">
        <v>37</v>
      </c>
    </row>
    <row r="15" spans="1:20" x14ac:dyDescent="0.25">
      <c r="A15">
        <v>14</v>
      </c>
      <c r="B15">
        <v>33</v>
      </c>
      <c r="D15">
        <v>42</v>
      </c>
      <c r="E15">
        <v>38</v>
      </c>
    </row>
    <row r="16" spans="1:20" x14ac:dyDescent="0.25">
      <c r="D16">
        <v>45</v>
      </c>
      <c r="E16">
        <v>38</v>
      </c>
    </row>
    <row r="17" spans="1:5" x14ac:dyDescent="0.25">
      <c r="A17">
        <v>16</v>
      </c>
      <c r="B17">
        <v>34</v>
      </c>
      <c r="D17">
        <v>48</v>
      </c>
      <c r="E17">
        <v>40</v>
      </c>
    </row>
    <row r="18" spans="1:5" x14ac:dyDescent="0.25">
      <c r="A18">
        <v>17</v>
      </c>
      <c r="B18">
        <v>33</v>
      </c>
      <c r="D18">
        <v>51</v>
      </c>
      <c r="E18">
        <v>40</v>
      </c>
    </row>
    <row r="19" spans="1:5" x14ac:dyDescent="0.25">
      <c r="D19">
        <v>54</v>
      </c>
      <c r="E19">
        <v>41</v>
      </c>
    </row>
    <row r="20" spans="1:5" x14ac:dyDescent="0.25">
      <c r="A20">
        <v>19</v>
      </c>
      <c r="B20">
        <v>34</v>
      </c>
      <c r="D20">
        <v>57</v>
      </c>
      <c r="E20">
        <v>42</v>
      </c>
    </row>
    <row r="21" spans="1:5" x14ac:dyDescent="0.25">
      <c r="A21">
        <v>20</v>
      </c>
      <c r="B21">
        <v>33</v>
      </c>
      <c r="D21">
        <v>60</v>
      </c>
      <c r="E21">
        <v>44</v>
      </c>
    </row>
    <row r="22" spans="1:5" x14ac:dyDescent="0.25">
      <c r="D22">
        <v>63</v>
      </c>
      <c r="E22">
        <v>44</v>
      </c>
    </row>
    <row r="23" spans="1:5" x14ac:dyDescent="0.25">
      <c r="A23">
        <v>22</v>
      </c>
      <c r="B23">
        <v>32</v>
      </c>
    </row>
    <row r="24" spans="1:5" x14ac:dyDescent="0.25">
      <c r="A24">
        <v>23</v>
      </c>
      <c r="B24">
        <v>32</v>
      </c>
    </row>
    <row r="26" spans="1:5" x14ac:dyDescent="0.25">
      <c r="A26">
        <v>25</v>
      </c>
      <c r="B26">
        <v>34</v>
      </c>
    </row>
    <row r="27" spans="1:5" x14ac:dyDescent="0.25">
      <c r="A27">
        <v>26</v>
      </c>
      <c r="B27">
        <v>33</v>
      </c>
    </row>
    <row r="29" spans="1:5" x14ac:dyDescent="0.25">
      <c r="A29">
        <v>28</v>
      </c>
      <c r="B29">
        <v>35</v>
      </c>
    </row>
    <row r="30" spans="1:5" x14ac:dyDescent="0.25">
      <c r="A30">
        <v>29</v>
      </c>
      <c r="B30">
        <v>34</v>
      </c>
    </row>
    <row r="32" spans="1:5" x14ac:dyDescent="0.25">
      <c r="A32">
        <v>31</v>
      </c>
      <c r="B32">
        <v>33</v>
      </c>
    </row>
    <row r="33" spans="1:2" x14ac:dyDescent="0.25">
      <c r="A33">
        <v>32</v>
      </c>
      <c r="B33">
        <v>34</v>
      </c>
    </row>
    <row r="35" spans="1:2" x14ac:dyDescent="0.25">
      <c r="A35">
        <v>34</v>
      </c>
      <c r="B35">
        <v>35</v>
      </c>
    </row>
    <row r="36" spans="1:2" x14ac:dyDescent="0.25">
      <c r="A36">
        <v>35</v>
      </c>
      <c r="B36">
        <v>34</v>
      </c>
    </row>
    <row r="38" spans="1:2" x14ac:dyDescent="0.25">
      <c r="A38">
        <v>37</v>
      </c>
      <c r="B38">
        <v>33</v>
      </c>
    </row>
    <row r="39" spans="1:2" x14ac:dyDescent="0.25">
      <c r="A39">
        <v>38</v>
      </c>
      <c r="B39">
        <v>33</v>
      </c>
    </row>
    <row r="41" spans="1:2" x14ac:dyDescent="0.25">
      <c r="A41">
        <v>40</v>
      </c>
      <c r="B41">
        <v>32</v>
      </c>
    </row>
    <row r="42" spans="1:2" x14ac:dyDescent="0.25">
      <c r="A42">
        <v>41</v>
      </c>
      <c r="B42">
        <v>35</v>
      </c>
    </row>
    <row r="44" spans="1:2" x14ac:dyDescent="0.25">
      <c r="A44">
        <v>43</v>
      </c>
      <c r="B44">
        <v>34</v>
      </c>
    </row>
    <row r="45" spans="1:2" x14ac:dyDescent="0.25">
      <c r="A45">
        <v>44</v>
      </c>
      <c r="B45">
        <v>34</v>
      </c>
    </row>
    <row r="47" spans="1:2" x14ac:dyDescent="0.25">
      <c r="A47">
        <v>46</v>
      </c>
      <c r="B47">
        <v>33</v>
      </c>
    </row>
    <row r="48" spans="1:2" x14ac:dyDescent="0.25">
      <c r="A48">
        <v>47</v>
      </c>
      <c r="B48">
        <v>33</v>
      </c>
    </row>
    <row r="50" spans="1:2" x14ac:dyDescent="0.25">
      <c r="A50">
        <v>49</v>
      </c>
      <c r="B50">
        <v>33</v>
      </c>
    </row>
    <row r="51" spans="1:2" x14ac:dyDescent="0.25">
      <c r="A51">
        <v>50</v>
      </c>
      <c r="B51">
        <v>34</v>
      </c>
    </row>
    <row r="53" spans="1:2" x14ac:dyDescent="0.25">
      <c r="A53">
        <v>52</v>
      </c>
      <c r="B53">
        <v>34</v>
      </c>
    </row>
    <row r="54" spans="1:2" x14ac:dyDescent="0.25">
      <c r="A54">
        <v>53</v>
      </c>
      <c r="B54">
        <v>33</v>
      </c>
    </row>
    <row r="56" spans="1:2" x14ac:dyDescent="0.25">
      <c r="A56">
        <v>55</v>
      </c>
      <c r="B56">
        <v>35</v>
      </c>
    </row>
    <row r="57" spans="1:2" x14ac:dyDescent="0.25">
      <c r="A57">
        <v>56</v>
      </c>
      <c r="B57">
        <v>34</v>
      </c>
    </row>
    <row r="59" spans="1:2" x14ac:dyDescent="0.25">
      <c r="A59">
        <v>58</v>
      </c>
      <c r="B59">
        <v>33</v>
      </c>
    </row>
    <row r="60" spans="1:2" x14ac:dyDescent="0.25">
      <c r="A60">
        <v>59</v>
      </c>
      <c r="B60">
        <v>33</v>
      </c>
    </row>
    <row r="62" spans="1:2" x14ac:dyDescent="0.25">
      <c r="A62">
        <v>61</v>
      </c>
      <c r="B62">
        <v>34</v>
      </c>
    </row>
    <row r="63" spans="1:2" x14ac:dyDescent="0.25">
      <c r="A63">
        <v>62</v>
      </c>
      <c r="B63">
        <v>34</v>
      </c>
    </row>
    <row r="65" spans="1:2" x14ac:dyDescent="0.25">
      <c r="A65">
        <v>64</v>
      </c>
      <c r="B65">
        <v>33</v>
      </c>
    </row>
    <row r="66" spans="1:2" x14ac:dyDescent="0.25">
      <c r="A66">
        <v>65</v>
      </c>
      <c r="B66">
        <v>34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Anatoliy</cp:lastModifiedBy>
  <dcterms:created xsi:type="dcterms:W3CDTF">2022-03-03T18:49:30Z</dcterms:created>
  <dcterms:modified xsi:type="dcterms:W3CDTF">2022-06-07T20:03:09Z</dcterms:modified>
</cp:coreProperties>
</file>